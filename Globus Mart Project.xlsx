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81F4D3F-3022-4CC5-B567-C91B801B5B4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_Log" sheetId="1" r:id="rId1"/>
    <sheet name="Purchase_Hub" sheetId="5" r:id="rId2"/>
    <sheet name="Inventory_Table" sheetId="2" r:id="rId3"/>
    <sheet name="date_key" sheetId="3" r:id="rId4"/>
  </sheets>
  <definedNames>
    <definedName name="_xlnm._FilterDatabase" localSheetId="3" hidden="1">date_key!$A$1:$D$1</definedName>
    <definedName name="_xlnm._FilterDatabase" localSheetId="2" hidden="1">Inventory_Table!$A$1:$AB$11</definedName>
    <definedName name="_xlnm._FilterDatabase" localSheetId="0" hidden="1">Sales_Log!$A$1:$H$51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 a="1"/>
  <c r="L3" i="2"/>
  <c r="L4" i="2" a="1"/>
  <c r="L4" i="2" s="1"/>
  <c r="L5" i="2" a="1"/>
  <c r="L5" i="2"/>
  <c r="L6" i="2" a="1"/>
  <c r="L6" i="2"/>
  <c r="L7" i="2" a="1"/>
  <c r="L7" i="2"/>
  <c r="L8" i="2" a="1"/>
  <c r="L8" i="2" s="1"/>
  <c r="L9" i="2" a="1"/>
  <c r="L9" i="2"/>
  <c r="L10" i="2" a="1"/>
  <c r="L10" i="2"/>
  <c r="W11" i="2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4" i="5"/>
  <c r="M2" i="2"/>
  <c r="T5" i="2"/>
  <c r="R3" i="2"/>
  <c r="R4" i="2"/>
  <c r="T4" i="2" s="1"/>
  <c r="R5" i="2"/>
  <c r="R6" i="2"/>
  <c r="R7" i="2"/>
  <c r="R8" i="2"/>
  <c r="R9" i="2"/>
  <c r="R10" i="2"/>
  <c r="R2" i="2"/>
  <c r="Q3" i="2"/>
  <c r="Q4" i="2"/>
  <c r="Q5" i="2"/>
  <c r="Q6" i="2"/>
  <c r="Q7" i="2"/>
  <c r="Q8" i="2"/>
  <c r="Q9" i="2"/>
  <c r="Q10" i="2"/>
  <c r="Q2" i="2"/>
  <c r="P3" i="2"/>
  <c r="P4" i="2"/>
  <c r="P5" i="2"/>
  <c r="P6" i="2"/>
  <c r="P7" i="2"/>
  <c r="P8" i="2"/>
  <c r="P9" i="2"/>
  <c r="P10" i="2"/>
  <c r="P2" i="2"/>
  <c r="O3" i="2"/>
  <c r="O4" i="2"/>
  <c r="O5" i="2"/>
  <c r="O6" i="2"/>
  <c r="O7" i="2"/>
  <c r="O8" i="2"/>
  <c r="O9" i="2"/>
  <c r="S9" i="2" s="1"/>
  <c r="U9" i="2" s="1"/>
  <c r="V9" i="2" s="1" a="1"/>
  <c r="V9" i="2" s="1"/>
  <c r="O10" i="2"/>
  <c r="O2" i="2"/>
  <c r="N3" i="2"/>
  <c r="N4" i="2"/>
  <c r="N5" i="2"/>
  <c r="N6" i="2"/>
  <c r="N7" i="2"/>
  <c r="N8" i="2"/>
  <c r="S8" i="2" s="1"/>
  <c r="U8" i="2" s="1"/>
  <c r="V8" i="2" s="1" a="1"/>
  <c r="V8" i="2" s="1"/>
  <c r="N9" i="2"/>
  <c r="N10" i="2"/>
  <c r="N2" i="2"/>
  <c r="M3" i="2"/>
  <c r="S3" i="2" s="1"/>
  <c r="M4" i="2"/>
  <c r="S4" i="2" s="1"/>
  <c r="M5" i="2"/>
  <c r="S5" i="2" s="1"/>
  <c r="U5" i="2" s="1"/>
  <c r="V5" i="2" s="1" a="1"/>
  <c r="V5" i="2" s="1"/>
  <c r="M6" i="2"/>
  <c r="T6" i="2" s="1"/>
  <c r="M7" i="2"/>
  <c r="T7" i="2" s="1"/>
  <c r="M8" i="2"/>
  <c r="T8" i="2" s="1"/>
  <c r="M9" i="2"/>
  <c r="T9" i="2" s="1"/>
  <c r="M10" i="2"/>
  <c r="S10" i="2" s="1"/>
  <c r="J4" i="2"/>
  <c r="Z4" i="2" s="1"/>
  <c r="J9" i="2"/>
  <c r="Z9" i="2" s="1"/>
  <c r="J10" i="2"/>
  <c r="J8" i="2"/>
  <c r="Z8" i="2" s="1"/>
  <c r="J5" i="2"/>
  <c r="Z5" i="2" s="1"/>
  <c r="J3" i="2"/>
  <c r="Z3" i="2" s="1"/>
  <c r="J7" i="2"/>
  <c r="Z7" i="2" s="1"/>
  <c r="J6" i="2"/>
  <c r="Z6" i="2" s="1"/>
  <c r="J2" i="2"/>
  <c r="Z2" i="2" s="1"/>
  <c r="I4" i="2"/>
  <c r="I9" i="2"/>
  <c r="AA9" i="2" s="1"/>
  <c r="I10" i="2"/>
  <c r="I8" i="2"/>
  <c r="AA8" i="2" s="1"/>
  <c r="I5" i="2"/>
  <c r="I3" i="2"/>
  <c r="I7" i="2"/>
  <c r="I6" i="2"/>
  <c r="AA6" i="2" s="1"/>
  <c r="I2" i="2"/>
  <c r="F2" i="1"/>
  <c r="H2" i="1" s="1"/>
  <c r="G2" i="1"/>
  <c r="G4" i="2"/>
  <c r="G9" i="2"/>
  <c r="G10" i="2"/>
  <c r="G8" i="2"/>
  <c r="G5" i="2"/>
  <c r="G3" i="2"/>
  <c r="G7" i="2"/>
  <c r="G6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U3" i="2" l="1"/>
  <c r="V3" i="2" s="1" a="1"/>
  <c r="V3" i="2" s="1"/>
  <c r="AA7" i="2"/>
  <c r="AB7" i="2" s="1" a="1"/>
  <c r="AB7" i="2" s="1"/>
  <c r="AB6" i="2" a="1"/>
  <c r="AB6" i="2" s="1"/>
  <c r="U10" i="2"/>
  <c r="V10" i="2" s="1" a="1"/>
  <c r="V10" i="2" s="1"/>
  <c r="AA5" i="2"/>
  <c r="AB5" i="2" s="1" a="1"/>
  <c r="AB5" i="2" s="1"/>
  <c r="AA3" i="2"/>
  <c r="AB3" i="2" s="1" a="1"/>
  <c r="AB3" i="2" s="1"/>
  <c r="AA10" i="2"/>
  <c r="AB8" i="2" a="1"/>
  <c r="AB8" i="2" s="1"/>
  <c r="AA2" i="2"/>
  <c r="AB2" i="2" s="1" a="1"/>
  <c r="AB2" i="2" s="1"/>
  <c r="AA4" i="2"/>
  <c r="AB4" i="2" s="1" a="1"/>
  <c r="AB4" i="2" s="1"/>
  <c r="AB9" i="2" a="1"/>
  <c r="AB9" i="2" s="1"/>
  <c r="U4" i="2"/>
  <c r="V4" i="2" s="1" a="1"/>
  <c r="V4" i="2" s="1"/>
  <c r="Z10" i="2"/>
  <c r="T3" i="2"/>
  <c r="S7" i="2"/>
  <c r="U7" i="2" s="1"/>
  <c r="V7" i="2" s="1" a="1"/>
  <c r="V7" i="2" s="1"/>
  <c r="T10" i="2"/>
  <c r="T2" i="2"/>
  <c r="S6" i="2"/>
  <c r="U6" i="2" s="1"/>
  <c r="V6" i="2" s="1" a="1"/>
  <c r="V6" i="2" s="1"/>
  <c r="S2" i="2"/>
  <c r="U2" i="2" s="1"/>
  <c r="V2" i="2" s="1" a="1"/>
  <c r="V2" i="2" s="1"/>
  <c r="H7" i="2"/>
  <c r="H8" i="2"/>
  <c r="H9" i="2"/>
  <c r="H4" i="2"/>
  <c r="H2" i="2"/>
  <c r="H5" i="2"/>
  <c r="H3" i="2"/>
  <c r="H6" i="2"/>
  <c r="H10" i="2"/>
  <c r="AB10" i="2" l="1" a="1"/>
  <c r="AB10" i="2" s="1"/>
  <c r="K2" i="2"/>
  <c r="L2" i="2" l="1" a="1"/>
  <c r="L2" i="2" s="1"/>
  <c r="W2" i="2" s="1"/>
  <c r="K3" i="2"/>
  <c r="W3" i="2" l="1"/>
  <c r="K4" i="2"/>
  <c r="W4" i="2" l="1"/>
  <c r="K5" i="2"/>
  <c r="W5" i="2" l="1"/>
  <c r="K6" i="2"/>
  <c r="W6" i="2" l="1"/>
  <c r="K7" i="2"/>
  <c r="K8" i="2" l="1"/>
  <c r="W7" i="2"/>
  <c r="K9" i="2" l="1"/>
  <c r="W8" i="2"/>
  <c r="K10" i="2" l="1"/>
  <c r="W9" i="2"/>
  <c r="W1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<sst xmlns="http://schemas.openxmlformats.org/spreadsheetml/2006/main" count="423" uniqueCount="162">
  <si>
    <t>Transaction_ID</t>
  </si>
  <si>
    <t>Date</t>
  </si>
  <si>
    <t>Store_Location</t>
  </si>
  <si>
    <t>SKU_ID</t>
  </si>
  <si>
    <t>Quantity_Sold</t>
  </si>
  <si>
    <t>TXN-100001</t>
  </si>
  <si>
    <t>Delhi-Connaught Place</t>
  </si>
  <si>
    <t>SKU-10204</t>
  </si>
  <si>
    <t>TXN-100002</t>
  </si>
  <si>
    <t>Noida-Sector 62</t>
  </si>
  <si>
    <t>SKU-30992</t>
  </si>
  <si>
    <t>TXN-100003</t>
  </si>
  <si>
    <t>Gurugram-Phase 3</t>
  </si>
  <si>
    <t>SKU-40125</t>
  </si>
  <si>
    <t>TXN-100004</t>
  </si>
  <si>
    <t>Delhi-Rohini</t>
  </si>
  <si>
    <t>SKU-50231</t>
  </si>
  <si>
    <t>TXN-100005</t>
  </si>
  <si>
    <t>Delhi-Saket</t>
  </si>
  <si>
    <t>SKU-60314</t>
  </si>
  <si>
    <t>TXN-100006</t>
  </si>
  <si>
    <t>Noida-Sector 18</t>
  </si>
  <si>
    <t>TXN-100007</t>
  </si>
  <si>
    <t>Gurugram-Golf Course</t>
  </si>
  <si>
    <t>SKU-70421</t>
  </si>
  <si>
    <t>TXN-100008</t>
  </si>
  <si>
    <t>Delhi-Dwarka</t>
  </si>
  <si>
    <t>SKU-80517</t>
  </si>
  <si>
    <t>TXN-100009</t>
  </si>
  <si>
    <t>Delhi-Vasant Kunj</t>
  </si>
  <si>
    <t>TXN-100010</t>
  </si>
  <si>
    <t>Ghaziabad-Indirapuram</t>
  </si>
  <si>
    <t>TXN-100011</t>
  </si>
  <si>
    <t>Faridabad-Sector 15</t>
  </si>
  <si>
    <t>TXN-100012</t>
  </si>
  <si>
    <t>Greater Noida</t>
  </si>
  <si>
    <t>TXN-100013</t>
  </si>
  <si>
    <t>TXN-100014</t>
  </si>
  <si>
    <t>TXN-100015</t>
  </si>
  <si>
    <t>SKU-90632</t>
  </si>
  <si>
    <t>TXN-100016</t>
  </si>
  <si>
    <t>SKU-10745</t>
  </si>
  <si>
    <t>TXN-100017</t>
  </si>
  <si>
    <t>TXN-100018</t>
  </si>
  <si>
    <t>TXN-100019</t>
  </si>
  <si>
    <t>TXN-100020</t>
  </si>
  <si>
    <t>TXN-100021</t>
  </si>
  <si>
    <t>TXN-100022</t>
  </si>
  <si>
    <t>TXN-100023</t>
  </si>
  <si>
    <t>TXN-100024</t>
  </si>
  <si>
    <t>TXN-100025</t>
  </si>
  <si>
    <t>TXN-100026</t>
  </si>
  <si>
    <t>TXN-100027</t>
  </si>
  <si>
    <t>TXN-100028</t>
  </si>
  <si>
    <t>TXN-100029</t>
  </si>
  <si>
    <t>TXN-100030</t>
  </si>
  <si>
    <t>TXN-100031</t>
  </si>
  <si>
    <t>TXN-100032</t>
  </si>
  <si>
    <t>TXN-100033</t>
  </si>
  <si>
    <t>TXN-100034</t>
  </si>
  <si>
    <t>TXN-100035</t>
  </si>
  <si>
    <t>TXN-100036</t>
  </si>
  <si>
    <t>TXN-100037</t>
  </si>
  <si>
    <t>TXN-100038</t>
  </si>
  <si>
    <t>TXN-100039</t>
  </si>
  <si>
    <t>TXN-100040</t>
  </si>
  <si>
    <t>TXN-100041</t>
  </si>
  <si>
    <t>TXN-100042</t>
  </si>
  <si>
    <t>TXN-100043</t>
  </si>
  <si>
    <t>TXN-100044</t>
  </si>
  <si>
    <t>TXN-100045</t>
  </si>
  <si>
    <t>TXN-100046</t>
  </si>
  <si>
    <t>TXN-100047</t>
  </si>
  <si>
    <t>TXN-100048</t>
  </si>
  <si>
    <t>TXN-100049</t>
  </si>
  <si>
    <t>TXN-100050</t>
  </si>
  <si>
    <t>Product_Name</t>
  </si>
  <si>
    <t>Category</t>
  </si>
  <si>
    <t>Current_Stock</t>
  </si>
  <si>
    <t>Supplier_Name</t>
  </si>
  <si>
    <t>Fortune Mustard Oil 1L</t>
  </si>
  <si>
    <t>Groceries</t>
  </si>
  <si>
    <t>₹175</t>
  </si>
  <si>
    <t>Adani Wilmar</t>
  </si>
  <si>
    <t>Vinod SS Kadhai</t>
  </si>
  <si>
    <t>Kitchenware</t>
  </si>
  <si>
    <t>Vinod Cookware</t>
  </si>
  <si>
    <t>Amul Butter 500g</t>
  </si>
  <si>
    <t>Dairy</t>
  </si>
  <si>
    <t>₹250</t>
  </si>
  <si>
    <t>Amul NCR</t>
  </si>
  <si>
    <t>Lays Classic 50g</t>
  </si>
  <si>
    <t>Snacks</t>
  </si>
  <si>
    <t>₹20</t>
  </si>
  <si>
    <t>PepsiCo India</t>
  </si>
  <si>
    <t>Maggi 2-Minute Noodles</t>
  </si>
  <si>
    <t>Instant Food</t>
  </si>
  <si>
    <t>₹15</t>
  </si>
  <si>
    <t>Nestle India</t>
  </si>
  <si>
    <t>Coca-Cola 750ml</t>
  </si>
  <si>
    <t>Beverages</t>
  </si>
  <si>
    <t>₹45</t>
  </si>
  <si>
    <t>Coca-Cola India</t>
  </si>
  <si>
    <t>Premium Dinner Set</t>
  </si>
  <si>
    <t>₹2,499</t>
  </si>
  <si>
    <t>HomeCraft Supplies</t>
  </si>
  <si>
    <t>Non-Stick Cookware Set</t>
  </si>
  <si>
    <t>₹1,899</t>
  </si>
  <si>
    <t>Prestige Supplier</t>
  </si>
  <si>
    <t>Seasonal Decoration Set</t>
  </si>
  <si>
    <t>Seasonal</t>
  </si>
  <si>
    <t>₹799</t>
  </si>
  <si>
    <t>Festive Decor India</t>
  </si>
  <si>
    <t>Kitchen Storage Set</t>
  </si>
  <si>
    <t>₹699</t>
  </si>
  <si>
    <t>Cello World</t>
  </si>
  <si>
    <t>Month_Name</t>
  </si>
  <si>
    <t>Quarter</t>
  </si>
  <si>
    <t>Is_Weekend</t>
  </si>
  <si>
    <t>January</t>
  </si>
  <si>
    <t>Q1</t>
  </si>
  <si>
    <t>No</t>
  </si>
  <si>
    <t>Yes</t>
  </si>
  <si>
    <t>February</t>
  </si>
  <si>
    <t>March</t>
  </si>
  <si>
    <t>April</t>
  </si>
  <si>
    <t>Q2</t>
  </si>
  <si>
    <t>May</t>
  </si>
  <si>
    <t>June</t>
  </si>
  <si>
    <t>Unit_Retail_Price</t>
  </si>
  <si>
    <t>category</t>
  </si>
  <si>
    <t>Total_Units_sold</t>
  </si>
  <si>
    <t>Total_Revenue</t>
  </si>
  <si>
    <t>Cumulative_Revenue_percent</t>
  </si>
  <si>
    <t>ABC_Class</t>
  </si>
  <si>
    <t>Jan_Sales</t>
  </si>
  <si>
    <t>Feb_sales</t>
  </si>
  <si>
    <t>March_Sales</t>
  </si>
  <si>
    <t>April_Sales</t>
  </si>
  <si>
    <t>May-Sales</t>
  </si>
  <si>
    <t>June_Sales</t>
  </si>
  <si>
    <t>StdDev_Monthly_sales</t>
  </si>
  <si>
    <t>Average_Mothly_Sales</t>
  </si>
  <si>
    <t>CV</t>
  </si>
  <si>
    <t>XYZ_Sales</t>
  </si>
  <si>
    <t>ABC_XYZ_Sales</t>
  </si>
  <si>
    <t>Avg_Lead_time_Days</t>
  </si>
  <si>
    <t>Max_Lead_Time_Days</t>
  </si>
  <si>
    <t>Safety_Stock</t>
  </si>
  <si>
    <t>ROP</t>
  </si>
  <si>
    <t>Stock_Status</t>
  </si>
  <si>
    <t>Grand Total</t>
  </si>
  <si>
    <t>Sum of Current_Stock</t>
  </si>
  <si>
    <t>Sum of ROP</t>
  </si>
  <si>
    <t>Sum of Safety_Stock</t>
  </si>
  <si>
    <t>rop</t>
  </si>
  <si>
    <t>(Multiple Items)</t>
  </si>
  <si>
    <t>Suggested_Order_Qty</t>
  </si>
  <si>
    <t>Total_revenue</t>
  </si>
  <si>
    <t>Max_Units_per_Transaction</t>
  </si>
  <si>
    <t>Retail_Price</t>
  </si>
  <si>
    <t>Avg_Units_per_transaction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</si>
</sst>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₹-439]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 vertical="top"/>
    </xf>
    <xf numFmtId="0" fontId="2" fillId="3" borderId="0" xfId="0" applyFont="1" applyFill="1"/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0" fontId="3" fillId="2" borderId="2" xfId="0" applyFont="1" applyFill="1" applyBorder="1" applyAlignment="1">
      <alignment horizontal="center" vertical="top"/>
    </xf>
    <xf numFmtId="165" fontId="0" fillId="0" borderId="0" xfId="0" applyNumberFormat="1"/>
    <xf numFmtId="0" fontId="1" fillId="2" borderId="3" xfId="0" applyFont="1" applyFill="1" applyBorder="1" applyAlignment="1">
      <alignment horizontal="center" vertical="top"/>
    </xf>
    <xf numFmtId="1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5" borderId="0" xfId="0" applyFont="1" applyFill="1"/>
  </cellXfs>
  <cellStyles count="1">
    <cellStyle name="Normal" xfId="0" builtinId="0"/>
  </cellStyles>
  <dxfs count="8"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7513B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751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72.065371643519" createdVersion="8" refreshedVersion="8" minRefreshableVersion="3" recordCount="11" xr:uid="{6EF88A5D-4B95-4A9B-9F54-599726F9BCE0}">
  <cacheSource type="worksheet">
    <worksheetSource ref="A1:AB11" sheet="Inventory_Table"/>
  </cacheSource>
  <cacheFields count="28">
    <cacheField name="SKU_ID" numFmtId="0">
      <sharedItems containsBlank="1"/>
    </cacheField>
    <cacheField name="Product_Name" numFmtId="0">
      <sharedItems containsBlank="1" count="11">
        <s v="Fortune Mustard Oil 1L"/>
        <s v="Non-Stick Cookware Set"/>
        <s v="Amul Butter 500g"/>
        <s v="Premium Dinner Set"/>
        <s v="Kitchen Storage Set"/>
        <s v="Seasonal Decoration Set"/>
        <s v="Coca-Cola 750ml"/>
        <s v="Lays Classic 50g"/>
        <s v="Maggi 2-Minute Noodles"/>
        <s v="Vinod SS Kadhai"/>
        <m/>
      </sharedItems>
    </cacheField>
    <cacheField name="Category" numFmtId="0">
      <sharedItems containsBlank="1" count="8">
        <s v="Groceries"/>
        <s v="Kitchenware"/>
        <s v="Dairy"/>
        <s v="Seasonal"/>
        <s v="Beverages"/>
        <s v="Snacks"/>
        <s v="Instant Food"/>
        <m/>
      </sharedItems>
    </cacheField>
    <cacheField name="Retail_Price_INR" numFmtId="0">
      <sharedItems containsBlank="1"/>
    </cacheField>
    <cacheField name="Current_Stock" numFmtId="0">
      <sharedItems containsString="0" containsBlank="1" containsNumber="1" containsInteger="1" minValue="12" maxValue="200"/>
    </cacheField>
    <cacheField name="Supplier_Name" numFmtId="0">
      <sharedItems containsBlank="1" count="11">
        <s v="Adani Wilmar"/>
        <s v="Prestige Supplier"/>
        <s v="Amul NCR"/>
        <s v="HomeCraft Supplies"/>
        <s v="Cello World"/>
        <s v="Festive Decor India"/>
        <s v="Coca-Cola India"/>
        <s v="PepsiCo India"/>
        <s v="Nestle India"/>
        <s v="Vinod Cookware"/>
        <m/>
      </sharedItems>
    </cacheField>
    <cacheField name="Total_Units_sold" numFmtId="0">
      <sharedItems containsString="0" containsBlank="1" containsNumber="1" containsInteger="1" minValue="0" maxValue="213"/>
    </cacheField>
    <cacheField name="Total_Revenue" numFmtId="0">
      <sharedItems containsString="0" containsBlank="1" containsNumber="1" containsInteger="1" minValue="0" maxValue="37275"/>
    </cacheField>
    <cacheField name="Avg_Daily_Sales" numFmtId="0">
      <sharedItems containsString="0" containsBlank="1" containsNumber="1" minValue="0" maxValue="21.5"/>
    </cacheField>
    <cacheField name="Max_Daily_sales" numFmtId="0">
      <sharedItems containsString="0" containsBlank="1" containsNumber="1" containsInteger="1" minValue="0" maxValue="28"/>
    </cacheField>
    <cacheField name="Cumulative_Revenue_percent" numFmtId="0">
      <sharedItems containsString="0" containsBlank="1" containsNumber="1" minValue="0.38729687045426209" maxValue="1"/>
    </cacheField>
    <cacheField name="ABC_Class" numFmtId="0">
      <sharedItems containsBlank="1"/>
    </cacheField>
    <cacheField name="Jan_Sales" numFmtId="0">
      <sharedItems containsString="0" containsBlank="1" containsNumber="1" containsInteger="1" minValue="0" maxValue="18"/>
    </cacheField>
    <cacheField name="Feb_sales" numFmtId="0">
      <sharedItems containsString="0" containsBlank="1" containsNumber="1" containsInteger="1" minValue="0" maxValue="25"/>
    </cacheField>
    <cacheField name="March_Sales" numFmtId="0">
      <sharedItems containsString="0" containsBlank="1" containsNumber="1" containsInteger="1" minValue="0" maxValue="29"/>
    </cacheField>
    <cacheField name="April_Sales" numFmtId="0">
      <sharedItems containsString="0" containsBlank="1" containsNumber="1" containsInteger="1" minValue="0" maxValue="36"/>
    </cacheField>
    <cacheField name="May-Sales" numFmtId="0">
      <sharedItems containsString="0" containsBlank="1" containsNumber="1" containsInteger="1" minValue="0" maxValue="41"/>
    </cacheField>
    <cacheField name="June_Sales" numFmtId="0">
      <sharedItems containsString="0" containsBlank="1" containsNumber="1" containsInteger="1" minValue="0" maxValue="64"/>
    </cacheField>
    <cacheField name="StdDev_Monthly_sales" numFmtId="0">
      <sharedItems containsString="0" containsBlank="1" containsNumber="1" minValue="0" maxValue="14.728091073410249"/>
    </cacheField>
    <cacheField name="Average_Mothly_Sales" numFmtId="0">
      <sharedItems containsString="0" containsBlank="1" containsNumber="1" minValue="0" maxValue="35.5"/>
    </cacheField>
    <cacheField name="CV" numFmtId="0">
      <sharedItems containsString="0" containsBlank="1" containsNumber="1" minValue="0" maxValue="1.1180339887498949"/>
    </cacheField>
    <cacheField name="XYZ_Sales" numFmtId="0">
      <sharedItems containsBlank="1"/>
    </cacheField>
    <cacheField name="ABC_XYZ_Sales" numFmtId="0">
      <sharedItems/>
    </cacheField>
    <cacheField name="Avg_Lead_time_Days" numFmtId="0">
      <sharedItems containsString="0" containsBlank="1" containsNumber="1" containsInteger="1" minValue="3" maxValue="12"/>
    </cacheField>
    <cacheField name="Max_Lead_Time_Days" numFmtId="0">
      <sharedItems containsString="0" containsBlank="1" containsNumber="1" containsInteger="1" minValue="5" maxValue="20"/>
    </cacheField>
    <cacheField name="Safety_Stock" numFmtId="0">
      <sharedItems containsString="0" containsBlank="1" containsNumber="1" minValue="0" maxValue="264" count="11">
        <n v="110.07692307692308"/>
        <n v="17.333333333333336"/>
        <n v="35.571428571428569"/>
        <n v="5.333333333333333"/>
        <n v="16"/>
        <n v="6"/>
        <n v="121.66666666666666"/>
        <n v="220"/>
        <n v="264"/>
        <n v="0"/>
        <m/>
      </sharedItems>
    </cacheField>
    <cacheField name="ROP" numFmtId="0">
      <sharedItems containsString="0" containsBlank="1" containsNumber="1" containsInteger="1" minValue="0" maxValue="500"/>
    </cacheField>
    <cacheField name="Stock_Status" numFmtId="0">
      <sharedItems containsBlank="1" count="3">
        <s v="CRITICAL - ORDER NOW"/>
        <s v="OVERSTOCK - REDUCE ORDE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SKU-10204"/>
    <x v="0"/>
    <x v="0"/>
    <s v="₹175"/>
    <n v="45"/>
    <x v="0"/>
    <n v="213"/>
    <n v="37275"/>
    <n v="16.384615384615383"/>
    <n v="24"/>
    <n v="0.38729687045426209"/>
    <s v="A"/>
    <n v="18"/>
    <n v="25"/>
    <n v="29"/>
    <n v="36"/>
    <n v="41"/>
    <n v="64"/>
    <n v="14.728091073410249"/>
    <n v="35.5"/>
    <n v="0.41487580488479575"/>
    <s v="Y"/>
    <s v="AY"/>
    <n v="5"/>
    <n v="8"/>
    <x v="0"/>
    <n v="192"/>
    <x v="0"/>
  </r>
  <r>
    <s v="SKU-80517"/>
    <x v="1"/>
    <x v="1"/>
    <s v="₹1,899"/>
    <n v="120"/>
    <x v="1"/>
    <n v="8"/>
    <n v="15192"/>
    <n v="2.6666666666666665"/>
    <n v="3"/>
    <n v="0.54514567141847803"/>
    <s v="A"/>
    <n v="3"/>
    <n v="0"/>
    <n v="2"/>
    <n v="0"/>
    <n v="3"/>
    <n v="0"/>
    <n v="1.3743685418725535"/>
    <n v="1.3333333333333333"/>
    <n v="1.0307764064044151"/>
    <s v="Z"/>
    <s v="AZ"/>
    <n v="7"/>
    <n v="12"/>
    <x v="1"/>
    <n v="36"/>
    <x v="1"/>
  </r>
  <r>
    <s v="SKU-30992"/>
    <x v="2"/>
    <x v="2"/>
    <s v="₹250"/>
    <n v="12"/>
    <x v="2"/>
    <n v="57"/>
    <n v="14250"/>
    <n v="8.1428571428571423"/>
    <n v="12"/>
    <n v="0.69320684925813558"/>
    <s v="A"/>
    <n v="5"/>
    <n v="6"/>
    <n v="8"/>
    <n v="7"/>
    <n v="10"/>
    <n v="21"/>
    <n v="5.3774219349672263"/>
    <n v="9.5"/>
    <n v="0.56604441420707641"/>
    <s v="Z"/>
    <s v="AZ"/>
    <n v="3"/>
    <n v="5"/>
    <x v="2"/>
    <n v="60"/>
    <x v="0"/>
  </r>
  <r>
    <s v="SKU-70421"/>
    <x v="3"/>
    <x v="1"/>
    <s v="₹2,499"/>
    <n v="150"/>
    <x v="3"/>
    <n v="5"/>
    <n v="12495"/>
    <n v="1.6666666666666667"/>
    <n v="2"/>
    <n v="0.82303312414280372"/>
    <s v="B"/>
    <n v="2"/>
    <n v="0"/>
    <n v="1"/>
    <n v="0"/>
    <n v="2"/>
    <n v="0"/>
    <n v="0.89752746785575066"/>
    <n v="0.83333333333333337"/>
    <n v="1.0770329614269007"/>
    <s v="Z"/>
    <s v="BZ"/>
    <n v="4"/>
    <n v="6"/>
    <x v="3"/>
    <n v="12"/>
    <x v="1"/>
  </r>
  <r>
    <s v="SKU-10745"/>
    <x v="4"/>
    <x v="1"/>
    <s v="₹699"/>
    <n v="110"/>
    <x v="4"/>
    <n v="9"/>
    <n v="6291"/>
    <n v="3"/>
    <n v="4"/>
    <n v="0.88839823781222726"/>
    <s v="B"/>
    <n v="0"/>
    <n v="4"/>
    <n v="0"/>
    <n v="3"/>
    <n v="0"/>
    <n v="2"/>
    <n v="1.6072751268321592"/>
    <n v="1.5"/>
    <n v="1.0715167512214394"/>
    <s v="Z"/>
    <s v="BZ"/>
    <n v="4"/>
    <n v="7"/>
    <x v="4"/>
    <n v="28"/>
    <x v="1"/>
  </r>
  <r>
    <s v="SKU-90632"/>
    <x v="5"/>
    <x v="3"/>
    <s v="₹799"/>
    <n v="200"/>
    <x v="5"/>
    <n v="4"/>
    <n v="3196"/>
    <n v="1.3333333333333333"/>
    <n v="2"/>
    <n v="0.92160550268068664"/>
    <s v="C"/>
    <n v="0"/>
    <n v="2"/>
    <n v="0"/>
    <n v="1"/>
    <n v="0"/>
    <n v="1"/>
    <n v="0.7453559924999299"/>
    <n v="0.66666666666666663"/>
    <n v="1.1180339887498949"/>
    <s v="Z"/>
    <s v="CZ"/>
    <n v="3"/>
    <n v="5"/>
    <x v="5"/>
    <n v="10"/>
    <x v="1"/>
  </r>
  <r>
    <s v="SKU-60314"/>
    <x v="6"/>
    <x v="4"/>
    <s v="₹45"/>
    <n v="70"/>
    <x v="6"/>
    <n v="71"/>
    <n v="3195"/>
    <n v="11.833333333333334"/>
    <n v="16"/>
    <n v="0.954802377291052"/>
    <s v="C"/>
    <n v="7"/>
    <n v="9"/>
    <n v="11"/>
    <n v="13"/>
    <n v="15"/>
    <n v="16"/>
    <n v="3.1841621957571333"/>
    <n v="11.833333333333334"/>
    <n v="0.26908412921891267"/>
    <s v="Y"/>
    <s v="CY"/>
    <n v="10"/>
    <n v="15"/>
    <x v="6"/>
    <n v="240"/>
    <x v="0"/>
  </r>
  <r>
    <s v="SKU-40125"/>
    <x v="7"/>
    <x v="5"/>
    <s v="₹20"/>
    <n v="85"/>
    <x v="7"/>
    <n v="129"/>
    <n v="2580"/>
    <n v="21.5"/>
    <n v="28"/>
    <n v="0.98160924317360054"/>
    <s v="C"/>
    <n v="12"/>
    <n v="18"/>
    <n v="21"/>
    <n v="24"/>
    <n v="26"/>
    <n v="28"/>
    <n v="5.346338310781813"/>
    <n v="21.5"/>
    <n v="0.24866689817589827"/>
    <s v="Y"/>
    <s v="CY"/>
    <n v="8"/>
    <n v="14"/>
    <x v="7"/>
    <n v="392"/>
    <x v="0"/>
  </r>
  <r>
    <s v="SKU-50231"/>
    <x v="8"/>
    <x v="6"/>
    <s v="₹15"/>
    <n v="95"/>
    <x v="8"/>
    <n v="118"/>
    <n v="1770"/>
    <n v="19.666666666666668"/>
    <n v="25"/>
    <n v="1"/>
    <s v="C"/>
    <n v="15"/>
    <n v="20"/>
    <n v="17"/>
    <n v="22"/>
    <n v="19"/>
    <n v="25"/>
    <n v="3.2489314482696545"/>
    <n v="19.666666666666668"/>
    <n v="0.16519990414930447"/>
    <s v="X"/>
    <s v="CX"/>
    <n v="12"/>
    <n v="20"/>
    <x v="8"/>
    <n v="500"/>
    <x v="0"/>
  </r>
  <r>
    <s v="SKU-20441"/>
    <x v="9"/>
    <x v="1"/>
    <s v="₹1,499"/>
    <n v="180"/>
    <x v="9"/>
    <n v="0"/>
    <n v="0"/>
    <n v="0"/>
    <n v="0"/>
    <n v="1"/>
    <s v="C"/>
    <n v="0"/>
    <n v="0"/>
    <n v="0"/>
    <n v="0"/>
    <n v="0"/>
    <n v="0"/>
    <n v="0"/>
    <n v="0"/>
    <n v="0"/>
    <s v="X"/>
    <s v="CX"/>
    <n v="6"/>
    <n v="10"/>
    <x v="9"/>
    <n v="0"/>
    <x v="1"/>
  </r>
  <r>
    <m/>
    <x v="10"/>
    <x v="7"/>
    <m/>
    <m/>
    <x v="10"/>
    <m/>
    <m/>
    <m/>
    <m/>
    <m/>
    <m/>
    <m/>
    <m/>
    <m/>
    <m/>
    <m/>
    <m/>
    <m/>
    <m/>
    <m/>
    <m/>
    <s v=""/>
    <m/>
    <m/>
    <x v="10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52DE3-5048-4953-8BA6-463B710A340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p">
  <location ref="A3:D34" firstHeaderRow="0" firstDataRow="1" firstDataCol="1" rowPageCount="1" colPageCount="1"/>
  <pivotFields count="28">
    <pivotField showAll="0"/>
    <pivotField axis="axisRow" showAll="0">
      <items count="12">
        <item x="2"/>
        <item x="6"/>
        <item x="0"/>
        <item x="4"/>
        <item x="7"/>
        <item x="8"/>
        <item x="1"/>
        <item x="3"/>
        <item x="5"/>
        <item x="9"/>
        <item x="10"/>
        <item t="default"/>
      </items>
    </pivotField>
    <pivotField axis="axisRow" showAll="0">
      <items count="9">
        <item x="4"/>
        <item x="2"/>
        <item x="0"/>
        <item x="6"/>
        <item x="1"/>
        <item x="3"/>
        <item x="5"/>
        <item x="7"/>
        <item t="default"/>
      </items>
    </pivotField>
    <pivotField showAll="0"/>
    <pivotField dataField="1" showAll="0"/>
    <pivotField axis="axisRow" showAll="0">
      <items count="12">
        <item x="0"/>
        <item x="2"/>
        <item x="4"/>
        <item x="6"/>
        <item x="5"/>
        <item x="3"/>
        <item x="8"/>
        <item x="7"/>
        <item x="1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2">
        <item x="9"/>
        <item x="3"/>
        <item x="5"/>
        <item x="4"/>
        <item x="1"/>
        <item x="2"/>
        <item x="0"/>
        <item x="6"/>
        <item x="7"/>
        <item x="8"/>
        <item x="10"/>
        <item t="default"/>
      </items>
    </pivotField>
    <pivotField dataField="1" showAll="0"/>
    <pivotField axis="axisPage" multipleItemSelectionAllowed="1" showAll="0">
      <items count="4">
        <item x="0"/>
        <item x="1"/>
        <item h="1" x="2"/>
        <item t="default"/>
      </items>
    </pivotField>
  </pivotFields>
  <rowFields count="3">
    <field x="1"/>
    <field x="2"/>
    <field x="5"/>
  </rowFields>
  <rowItems count="31">
    <i>
      <x/>
    </i>
    <i r="1">
      <x v="1"/>
    </i>
    <i r="2">
      <x v="1"/>
    </i>
    <i>
      <x v="1"/>
    </i>
    <i r="1">
      <x/>
    </i>
    <i r="2">
      <x v="3"/>
    </i>
    <i>
      <x v="2"/>
    </i>
    <i r="1">
      <x v="2"/>
    </i>
    <i r="2">
      <x/>
    </i>
    <i>
      <x v="3"/>
    </i>
    <i r="1">
      <x v="4"/>
    </i>
    <i r="2">
      <x v="2"/>
    </i>
    <i>
      <x v="4"/>
    </i>
    <i r="1">
      <x v="6"/>
    </i>
    <i r="2">
      <x v="7"/>
    </i>
    <i>
      <x v="5"/>
    </i>
    <i r="1">
      <x v="3"/>
    </i>
    <i r="2">
      <x v="6"/>
    </i>
    <i>
      <x v="6"/>
    </i>
    <i r="1">
      <x v="4"/>
    </i>
    <i r="2">
      <x v="8"/>
    </i>
    <i>
      <x v="7"/>
    </i>
    <i r="1">
      <x v="4"/>
    </i>
    <i r="2">
      <x v="5"/>
    </i>
    <i>
      <x v="8"/>
    </i>
    <i r="1">
      <x v="5"/>
    </i>
    <i r="2">
      <x v="4"/>
    </i>
    <i>
      <x v="9"/>
    </i>
    <i r="1">
      <x v="4"/>
    </i>
    <i r="2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7" hier="-1"/>
  </pageFields>
  <dataFields count="3">
    <dataField name="Sum of ROP" fld="26" baseField="0" baseItem="0"/>
    <dataField name="Sum of Current_Stock" fld="4" baseField="0" baseItem="0"/>
    <dataField name="Sum of Safety_Stock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zoomScale="90" zoomScaleNormal="90" workbookViewId="0">
      <pane ySplit="1" topLeftCell="A2" activePane="bottomLeft" state="frozen"/>
      <selection pane="bottomLeft" activeCell="J13" sqref="J13"/>
    </sheetView>
  </sheetViews>
  <sheetFormatPr defaultRowHeight="14.5" x14ac:dyDescent="0.35"/>
  <cols>
    <col min="1" max="1" width="18" customWidth="1"/>
    <col min="2" max="2" width="14" customWidth="1"/>
    <col min="3" max="3" width="28" customWidth="1"/>
    <col min="4" max="4" width="14" customWidth="1"/>
    <col min="5" max="5" width="16" customWidth="1"/>
    <col min="6" max="6" width="18.6328125" customWidth="1"/>
    <col min="7" max="7" width="20.453125" customWidth="1"/>
    <col min="8" max="8" width="25" customWidth="1"/>
    <col min="9" max="9" width="24.453125" customWidth="1"/>
  </cols>
  <sheetData>
    <row r="1" spans="1:8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7" t="s">
        <v>129</v>
      </c>
      <c r="G1" s="7" t="s">
        <v>130</v>
      </c>
      <c r="H1" s="9" t="s">
        <v>158</v>
      </c>
    </row>
    <row r="2" spans="1:8" x14ac:dyDescent="0.35">
      <c r="A2" t="s">
        <v>5</v>
      </c>
      <c r="B2" s="2">
        <v>46037</v>
      </c>
      <c r="C2" s="1" t="s">
        <v>6</v>
      </c>
      <c r="D2" s="1" t="s">
        <v>7</v>
      </c>
      <c r="E2" s="3">
        <v>8</v>
      </c>
      <c r="F2" s="8" t="str">
        <f>_xlfn.XLOOKUP(D2,Inventory_Table!$A$2:$A$10,Inventory_Table!$D$2:$D$10)</f>
        <v>₹175</v>
      </c>
      <c r="G2" s="1" t="str">
        <f>_xlfn.XLOOKUP(D2,Inventory_Table!$A$2:$A$10,Inventory_Table!$C$2:$C$10)</f>
        <v>Groceries</v>
      </c>
      <c r="H2" s="10">
        <f>E2*VALUE(SUBSTITUTE(F2,"₹",""))</f>
        <v>1400</v>
      </c>
    </row>
    <row r="3" spans="1:8" x14ac:dyDescent="0.35">
      <c r="A3" t="s">
        <v>8</v>
      </c>
      <c r="B3" s="2">
        <v>46038</v>
      </c>
      <c r="C3" s="1" t="s">
        <v>9</v>
      </c>
      <c r="D3" s="1" t="s">
        <v>10</v>
      </c>
      <c r="E3" s="3">
        <v>5</v>
      </c>
      <c r="F3" s="8" t="str">
        <f>_xlfn.XLOOKUP(D3,Inventory_Table!$A$2:$A$10,Inventory_Table!$D$2:$D$10)</f>
        <v>₹250</v>
      </c>
      <c r="G3" s="1" t="str">
        <f>_xlfn.XLOOKUP(D3,Inventory_Table!$A$2:$A$10,Inventory_Table!$C$2:$C$10)</f>
        <v>Dairy</v>
      </c>
      <c r="H3" s="10">
        <f t="shared" ref="H3:H51" si="0">E3*VALUE(SUBSTITUTE(F3,"₹",""))</f>
        <v>1250</v>
      </c>
    </row>
    <row r="4" spans="1:8" x14ac:dyDescent="0.35">
      <c r="A4" t="s">
        <v>11</v>
      </c>
      <c r="B4" s="2">
        <v>46040</v>
      </c>
      <c r="C4" s="1" t="s">
        <v>12</v>
      </c>
      <c r="D4" s="1" t="s">
        <v>13</v>
      </c>
      <c r="E4" s="3">
        <v>12</v>
      </c>
      <c r="F4" s="8" t="str">
        <f>_xlfn.XLOOKUP(D4,Inventory_Table!$A$2:$A$10,Inventory_Table!$D$2:$D$10)</f>
        <v>₹20</v>
      </c>
      <c r="G4" s="1" t="str">
        <f>_xlfn.XLOOKUP(D4,Inventory_Table!$A$2:$A$10,Inventory_Table!$C$2:$C$10)</f>
        <v>Snacks</v>
      </c>
      <c r="H4" s="10">
        <f t="shared" si="0"/>
        <v>240</v>
      </c>
    </row>
    <row r="5" spans="1:8" x14ac:dyDescent="0.35">
      <c r="A5" t="s">
        <v>14</v>
      </c>
      <c r="B5" s="2">
        <v>46042</v>
      </c>
      <c r="C5" s="1" t="s">
        <v>15</v>
      </c>
      <c r="D5" s="1" t="s">
        <v>16</v>
      </c>
      <c r="E5" s="3">
        <v>15</v>
      </c>
      <c r="F5" s="8" t="str">
        <f>_xlfn.XLOOKUP(D5,Inventory_Table!$A$2:$A$10,Inventory_Table!$D$2:$D$10)</f>
        <v>₹15</v>
      </c>
      <c r="G5" s="1" t="str">
        <f>_xlfn.XLOOKUP(D5,Inventory_Table!$A$2:$A$10,Inventory_Table!$C$2:$C$10)</f>
        <v>Instant Food</v>
      </c>
      <c r="H5" s="10">
        <f t="shared" si="0"/>
        <v>225</v>
      </c>
    </row>
    <row r="6" spans="1:8" x14ac:dyDescent="0.35">
      <c r="A6" t="s">
        <v>17</v>
      </c>
      <c r="B6" s="2">
        <v>46044</v>
      </c>
      <c r="C6" s="1" t="s">
        <v>18</v>
      </c>
      <c r="D6" s="1" t="s">
        <v>19</v>
      </c>
      <c r="E6" s="3">
        <v>7</v>
      </c>
      <c r="F6" s="8" t="str">
        <f>_xlfn.XLOOKUP(D6,Inventory_Table!$A$2:$A$10,Inventory_Table!$D$2:$D$10)</f>
        <v>₹45</v>
      </c>
      <c r="G6" s="1" t="str">
        <f>_xlfn.XLOOKUP(D6,Inventory_Table!$A$2:$A$10,Inventory_Table!$C$2:$C$10)</f>
        <v>Beverages</v>
      </c>
      <c r="H6" s="10">
        <f t="shared" si="0"/>
        <v>315</v>
      </c>
    </row>
    <row r="7" spans="1:8" x14ac:dyDescent="0.35">
      <c r="A7" t="s">
        <v>20</v>
      </c>
      <c r="B7" s="2">
        <v>46047</v>
      </c>
      <c r="C7" s="1" t="s">
        <v>21</v>
      </c>
      <c r="D7" s="1" t="s">
        <v>7</v>
      </c>
      <c r="E7" s="3">
        <v>10</v>
      </c>
      <c r="F7" s="8" t="str">
        <f>_xlfn.XLOOKUP(D7,Inventory_Table!$A$2:$A$10,Inventory_Table!$D$2:$D$10)</f>
        <v>₹175</v>
      </c>
      <c r="G7" s="1" t="str">
        <f>_xlfn.XLOOKUP(D7,Inventory_Table!$A$2:$A$10,Inventory_Table!$C$2:$C$10)</f>
        <v>Groceries</v>
      </c>
      <c r="H7" s="10">
        <f t="shared" si="0"/>
        <v>1750</v>
      </c>
    </row>
    <row r="8" spans="1:8" x14ac:dyDescent="0.35">
      <c r="A8" t="s">
        <v>22</v>
      </c>
      <c r="B8" s="2">
        <v>46049</v>
      </c>
      <c r="C8" s="1" t="s">
        <v>23</v>
      </c>
      <c r="D8" s="1" t="s">
        <v>24</v>
      </c>
      <c r="E8" s="3">
        <v>2</v>
      </c>
      <c r="F8" s="8" t="str">
        <f>_xlfn.XLOOKUP(D8,Inventory_Table!$A$2:$A$10,Inventory_Table!$D$2:$D$10)</f>
        <v>₹2,499</v>
      </c>
      <c r="G8" s="1" t="str">
        <f>_xlfn.XLOOKUP(D8,Inventory_Table!$A$2:$A$10,Inventory_Table!$C$2:$C$10)</f>
        <v>Kitchenware</v>
      </c>
      <c r="H8" s="10">
        <f t="shared" si="0"/>
        <v>4998</v>
      </c>
    </row>
    <row r="9" spans="1:8" x14ac:dyDescent="0.35">
      <c r="A9" t="s">
        <v>25</v>
      </c>
      <c r="B9" s="2">
        <v>46052</v>
      </c>
      <c r="C9" s="1" t="s">
        <v>26</v>
      </c>
      <c r="D9" s="1" t="s">
        <v>27</v>
      </c>
      <c r="E9" s="3">
        <v>3</v>
      </c>
      <c r="F9" s="8" t="str">
        <f>_xlfn.XLOOKUP(D9,Inventory_Table!$A$2:$A$10,Inventory_Table!$D$2:$D$10)</f>
        <v>₹1,899</v>
      </c>
      <c r="G9" s="1" t="str">
        <f>_xlfn.XLOOKUP(D9,Inventory_Table!$A$2:$A$10,Inventory_Table!$C$2:$C$10)</f>
        <v>Kitchenware</v>
      </c>
      <c r="H9" s="10">
        <f t="shared" si="0"/>
        <v>5697</v>
      </c>
    </row>
    <row r="10" spans="1:8" x14ac:dyDescent="0.35">
      <c r="A10" t="s">
        <v>28</v>
      </c>
      <c r="B10" s="2">
        <v>46056</v>
      </c>
      <c r="C10" s="1" t="s">
        <v>29</v>
      </c>
      <c r="D10" s="1" t="s">
        <v>7</v>
      </c>
      <c r="E10" s="3">
        <v>14</v>
      </c>
      <c r="F10" s="8" t="str">
        <f>_xlfn.XLOOKUP(D10,Inventory_Table!$A$2:$A$10,Inventory_Table!$D$2:$D$10)</f>
        <v>₹175</v>
      </c>
      <c r="G10" s="1" t="str">
        <f>_xlfn.XLOOKUP(D10,Inventory_Table!$A$2:$A$10,Inventory_Table!$C$2:$C$10)</f>
        <v>Groceries</v>
      </c>
      <c r="H10" s="10">
        <f t="shared" si="0"/>
        <v>2450</v>
      </c>
    </row>
    <row r="11" spans="1:8" x14ac:dyDescent="0.35">
      <c r="A11" t="s">
        <v>30</v>
      </c>
      <c r="B11" s="2">
        <v>46058</v>
      </c>
      <c r="C11" s="1" t="s">
        <v>31</v>
      </c>
      <c r="D11" s="1" t="s">
        <v>10</v>
      </c>
      <c r="E11" s="3">
        <v>6</v>
      </c>
      <c r="F11" s="8" t="str">
        <f>_xlfn.XLOOKUP(D11,Inventory_Table!$A$2:$A$10,Inventory_Table!$D$2:$D$10)</f>
        <v>₹250</v>
      </c>
      <c r="G11" s="1" t="str">
        <f>_xlfn.XLOOKUP(D11,Inventory_Table!$A$2:$A$10,Inventory_Table!$C$2:$C$10)</f>
        <v>Dairy</v>
      </c>
      <c r="H11" s="10">
        <f t="shared" si="0"/>
        <v>1500</v>
      </c>
    </row>
    <row r="12" spans="1:8" x14ac:dyDescent="0.35">
      <c r="A12" t="s">
        <v>32</v>
      </c>
      <c r="B12" s="2">
        <v>46061</v>
      </c>
      <c r="C12" s="1" t="s">
        <v>33</v>
      </c>
      <c r="D12" s="1" t="s">
        <v>13</v>
      </c>
      <c r="E12" s="3">
        <v>18</v>
      </c>
      <c r="F12" s="8" t="str">
        <f>_xlfn.XLOOKUP(D12,Inventory_Table!$A$2:$A$10,Inventory_Table!$D$2:$D$10)</f>
        <v>₹20</v>
      </c>
      <c r="G12" s="1" t="str">
        <f>_xlfn.XLOOKUP(D12,Inventory_Table!$A$2:$A$10,Inventory_Table!$C$2:$C$10)</f>
        <v>Snacks</v>
      </c>
      <c r="H12" s="10">
        <f t="shared" si="0"/>
        <v>360</v>
      </c>
    </row>
    <row r="13" spans="1:8" x14ac:dyDescent="0.35">
      <c r="A13" t="s">
        <v>34</v>
      </c>
      <c r="B13" s="2">
        <v>46063</v>
      </c>
      <c r="C13" s="1" t="s">
        <v>35</v>
      </c>
      <c r="D13" s="1" t="s">
        <v>16</v>
      </c>
      <c r="E13" s="3">
        <v>20</v>
      </c>
      <c r="F13" s="8" t="str">
        <f>_xlfn.XLOOKUP(D13,Inventory_Table!$A$2:$A$10,Inventory_Table!$D$2:$D$10)</f>
        <v>₹15</v>
      </c>
      <c r="G13" s="1" t="str">
        <f>_xlfn.XLOOKUP(D13,Inventory_Table!$A$2:$A$10,Inventory_Table!$C$2:$C$10)</f>
        <v>Instant Food</v>
      </c>
      <c r="H13" s="10">
        <f t="shared" si="0"/>
        <v>300</v>
      </c>
    </row>
    <row r="14" spans="1:8" x14ac:dyDescent="0.35">
      <c r="A14" t="s">
        <v>36</v>
      </c>
      <c r="B14" s="2">
        <v>46066</v>
      </c>
      <c r="C14" s="1" t="s">
        <v>6</v>
      </c>
      <c r="D14" s="1" t="s">
        <v>19</v>
      </c>
      <c r="E14" s="3">
        <v>9</v>
      </c>
      <c r="F14" s="8" t="str">
        <f>_xlfn.XLOOKUP(D14,Inventory_Table!$A$2:$A$10,Inventory_Table!$D$2:$D$10)</f>
        <v>₹45</v>
      </c>
      <c r="G14" s="1" t="str">
        <f>_xlfn.XLOOKUP(D14,Inventory_Table!$A$2:$A$10,Inventory_Table!$C$2:$C$10)</f>
        <v>Beverages</v>
      </c>
      <c r="H14" s="10">
        <f t="shared" si="0"/>
        <v>405</v>
      </c>
    </row>
    <row r="15" spans="1:8" x14ac:dyDescent="0.35">
      <c r="A15" t="s">
        <v>37</v>
      </c>
      <c r="B15" s="2">
        <v>46069</v>
      </c>
      <c r="C15" s="1" t="s">
        <v>9</v>
      </c>
      <c r="D15" s="1" t="s">
        <v>7</v>
      </c>
      <c r="E15" s="3">
        <v>11</v>
      </c>
      <c r="F15" s="8" t="str">
        <f>_xlfn.XLOOKUP(D15,Inventory_Table!$A$2:$A$10,Inventory_Table!$D$2:$D$10)</f>
        <v>₹175</v>
      </c>
      <c r="G15" s="1" t="str">
        <f>_xlfn.XLOOKUP(D15,Inventory_Table!$A$2:$A$10,Inventory_Table!$C$2:$C$10)</f>
        <v>Groceries</v>
      </c>
      <c r="H15" s="10">
        <f t="shared" si="0"/>
        <v>1925</v>
      </c>
    </row>
    <row r="16" spans="1:8" x14ac:dyDescent="0.35">
      <c r="A16" t="s">
        <v>38</v>
      </c>
      <c r="B16" s="2">
        <v>46073</v>
      </c>
      <c r="C16" s="1" t="s">
        <v>12</v>
      </c>
      <c r="D16" s="1" t="s">
        <v>39</v>
      </c>
      <c r="E16" s="3">
        <v>2</v>
      </c>
      <c r="F16" s="8" t="str">
        <f>_xlfn.XLOOKUP(D16,Inventory_Table!$A$2:$A$10,Inventory_Table!$D$2:$D$10)</f>
        <v>₹799</v>
      </c>
      <c r="G16" s="1" t="str">
        <f>_xlfn.XLOOKUP(D16,Inventory_Table!$A$2:$A$10,Inventory_Table!$C$2:$C$10)</f>
        <v>Seasonal</v>
      </c>
      <c r="H16" s="10">
        <f t="shared" si="0"/>
        <v>1598</v>
      </c>
    </row>
    <row r="17" spans="1:8" x14ac:dyDescent="0.35">
      <c r="A17" t="s">
        <v>40</v>
      </c>
      <c r="B17" s="2">
        <v>46077</v>
      </c>
      <c r="C17" s="1" t="s">
        <v>15</v>
      </c>
      <c r="D17" s="1" t="s">
        <v>41</v>
      </c>
      <c r="E17" s="3">
        <v>4</v>
      </c>
      <c r="F17" s="8" t="str">
        <f>_xlfn.XLOOKUP(D17,Inventory_Table!$A$2:$A$10,Inventory_Table!$D$2:$D$10)</f>
        <v>₹699</v>
      </c>
      <c r="G17" s="1" t="str">
        <f>_xlfn.XLOOKUP(D17,Inventory_Table!$A$2:$A$10,Inventory_Table!$C$2:$C$10)</f>
        <v>Kitchenware</v>
      </c>
      <c r="H17" s="10">
        <f t="shared" si="0"/>
        <v>2796</v>
      </c>
    </row>
    <row r="18" spans="1:8" x14ac:dyDescent="0.35">
      <c r="A18" t="s">
        <v>42</v>
      </c>
      <c r="B18" s="2">
        <v>46083</v>
      </c>
      <c r="C18" s="1" t="s">
        <v>18</v>
      </c>
      <c r="D18" s="1" t="s">
        <v>7</v>
      </c>
      <c r="E18" s="3">
        <v>16</v>
      </c>
      <c r="F18" s="8" t="str">
        <f>_xlfn.XLOOKUP(D18,Inventory_Table!$A$2:$A$10,Inventory_Table!$D$2:$D$10)</f>
        <v>₹175</v>
      </c>
      <c r="G18" s="1" t="str">
        <f>_xlfn.XLOOKUP(D18,Inventory_Table!$A$2:$A$10,Inventory_Table!$C$2:$C$10)</f>
        <v>Groceries</v>
      </c>
      <c r="H18" s="10">
        <f t="shared" si="0"/>
        <v>2800</v>
      </c>
    </row>
    <row r="19" spans="1:8" x14ac:dyDescent="0.35">
      <c r="A19" t="s">
        <v>43</v>
      </c>
      <c r="B19" s="2">
        <v>46086</v>
      </c>
      <c r="C19" s="1" t="s">
        <v>21</v>
      </c>
      <c r="D19" s="1" t="s">
        <v>10</v>
      </c>
      <c r="E19" s="3">
        <v>8</v>
      </c>
      <c r="F19" s="8" t="str">
        <f>_xlfn.XLOOKUP(D19,Inventory_Table!$A$2:$A$10,Inventory_Table!$D$2:$D$10)</f>
        <v>₹250</v>
      </c>
      <c r="G19" s="1" t="str">
        <f>_xlfn.XLOOKUP(D19,Inventory_Table!$A$2:$A$10,Inventory_Table!$C$2:$C$10)</f>
        <v>Dairy</v>
      </c>
      <c r="H19" s="10">
        <f t="shared" si="0"/>
        <v>2000</v>
      </c>
    </row>
    <row r="20" spans="1:8" x14ac:dyDescent="0.35">
      <c r="A20" t="s">
        <v>44</v>
      </c>
      <c r="B20" s="2">
        <v>46090</v>
      </c>
      <c r="C20" s="1" t="s">
        <v>23</v>
      </c>
      <c r="D20" s="1" t="s">
        <v>13</v>
      </c>
      <c r="E20" s="3">
        <v>21</v>
      </c>
      <c r="F20" s="8" t="str">
        <f>_xlfn.XLOOKUP(D20,Inventory_Table!$A$2:$A$10,Inventory_Table!$D$2:$D$10)</f>
        <v>₹20</v>
      </c>
      <c r="G20" s="1" t="str">
        <f>_xlfn.XLOOKUP(D20,Inventory_Table!$A$2:$A$10,Inventory_Table!$C$2:$C$10)</f>
        <v>Snacks</v>
      </c>
      <c r="H20" s="10">
        <f t="shared" si="0"/>
        <v>420</v>
      </c>
    </row>
    <row r="21" spans="1:8" x14ac:dyDescent="0.35">
      <c r="A21" t="s">
        <v>45</v>
      </c>
      <c r="B21" s="2">
        <v>46093</v>
      </c>
      <c r="C21" s="1" t="s">
        <v>26</v>
      </c>
      <c r="D21" s="1" t="s">
        <v>16</v>
      </c>
      <c r="E21" s="3">
        <v>17</v>
      </c>
      <c r="F21" s="8" t="str">
        <f>_xlfn.XLOOKUP(D21,Inventory_Table!$A$2:$A$10,Inventory_Table!$D$2:$D$10)</f>
        <v>₹15</v>
      </c>
      <c r="G21" s="1" t="str">
        <f>_xlfn.XLOOKUP(D21,Inventory_Table!$A$2:$A$10,Inventory_Table!$C$2:$C$10)</f>
        <v>Instant Food</v>
      </c>
      <c r="H21" s="10">
        <f t="shared" si="0"/>
        <v>255</v>
      </c>
    </row>
    <row r="22" spans="1:8" x14ac:dyDescent="0.35">
      <c r="A22" t="s">
        <v>46</v>
      </c>
      <c r="B22" s="2">
        <v>46096</v>
      </c>
      <c r="C22" s="1" t="s">
        <v>29</v>
      </c>
      <c r="D22" s="1" t="s">
        <v>19</v>
      </c>
      <c r="E22" s="3">
        <v>11</v>
      </c>
      <c r="F22" s="8" t="str">
        <f>_xlfn.XLOOKUP(D22,Inventory_Table!$A$2:$A$10,Inventory_Table!$D$2:$D$10)</f>
        <v>₹45</v>
      </c>
      <c r="G22" s="1" t="str">
        <f>_xlfn.XLOOKUP(D22,Inventory_Table!$A$2:$A$10,Inventory_Table!$C$2:$C$10)</f>
        <v>Beverages</v>
      </c>
      <c r="H22" s="10">
        <f t="shared" si="0"/>
        <v>495</v>
      </c>
    </row>
    <row r="23" spans="1:8" x14ac:dyDescent="0.35">
      <c r="A23" t="s">
        <v>47</v>
      </c>
      <c r="B23" s="2">
        <v>46099</v>
      </c>
      <c r="C23" s="1" t="s">
        <v>31</v>
      </c>
      <c r="D23" s="1" t="s">
        <v>7</v>
      </c>
      <c r="E23" s="3">
        <v>13</v>
      </c>
      <c r="F23" s="8" t="str">
        <f>_xlfn.XLOOKUP(D23,Inventory_Table!$A$2:$A$10,Inventory_Table!$D$2:$D$10)</f>
        <v>₹175</v>
      </c>
      <c r="G23" s="1" t="str">
        <f>_xlfn.XLOOKUP(D23,Inventory_Table!$A$2:$A$10,Inventory_Table!$C$2:$C$10)</f>
        <v>Groceries</v>
      </c>
      <c r="H23" s="10">
        <f t="shared" si="0"/>
        <v>2275</v>
      </c>
    </row>
    <row r="24" spans="1:8" x14ac:dyDescent="0.35">
      <c r="A24" t="s">
        <v>48</v>
      </c>
      <c r="B24" s="2">
        <v>46103</v>
      </c>
      <c r="C24" s="1" t="s">
        <v>33</v>
      </c>
      <c r="D24" s="1" t="s">
        <v>24</v>
      </c>
      <c r="E24" s="3">
        <v>1</v>
      </c>
      <c r="F24" s="8" t="str">
        <f>_xlfn.XLOOKUP(D24,Inventory_Table!$A$2:$A$10,Inventory_Table!$D$2:$D$10)</f>
        <v>₹2,499</v>
      </c>
      <c r="G24" s="1" t="str">
        <f>_xlfn.XLOOKUP(D24,Inventory_Table!$A$2:$A$10,Inventory_Table!$C$2:$C$10)</f>
        <v>Kitchenware</v>
      </c>
      <c r="H24" s="10">
        <f t="shared" si="0"/>
        <v>2499</v>
      </c>
    </row>
    <row r="25" spans="1:8" x14ac:dyDescent="0.35">
      <c r="A25" t="s">
        <v>49</v>
      </c>
      <c r="B25" s="2">
        <v>46108</v>
      </c>
      <c r="C25" s="1" t="s">
        <v>35</v>
      </c>
      <c r="D25" s="1" t="s">
        <v>27</v>
      </c>
      <c r="E25" s="3">
        <v>2</v>
      </c>
      <c r="F25" s="8" t="str">
        <f>_xlfn.XLOOKUP(D25,Inventory_Table!$A$2:$A$10,Inventory_Table!$D$2:$D$10)</f>
        <v>₹1,899</v>
      </c>
      <c r="G25" s="1" t="str">
        <f>_xlfn.XLOOKUP(D25,Inventory_Table!$A$2:$A$10,Inventory_Table!$C$2:$C$10)</f>
        <v>Kitchenware</v>
      </c>
      <c r="H25" s="10">
        <f t="shared" si="0"/>
        <v>3798</v>
      </c>
    </row>
    <row r="26" spans="1:8" x14ac:dyDescent="0.35">
      <c r="A26" t="s">
        <v>50</v>
      </c>
      <c r="B26" s="2">
        <v>46114</v>
      </c>
      <c r="C26" s="1" t="s">
        <v>6</v>
      </c>
      <c r="D26" s="1" t="s">
        <v>7</v>
      </c>
      <c r="E26" s="3">
        <v>19</v>
      </c>
      <c r="F26" s="8" t="str">
        <f>_xlfn.XLOOKUP(D26,Inventory_Table!$A$2:$A$10,Inventory_Table!$D$2:$D$10)</f>
        <v>₹175</v>
      </c>
      <c r="G26" s="1" t="str">
        <f>_xlfn.XLOOKUP(D26,Inventory_Table!$A$2:$A$10,Inventory_Table!$C$2:$C$10)</f>
        <v>Groceries</v>
      </c>
      <c r="H26" s="10">
        <f t="shared" si="0"/>
        <v>3325</v>
      </c>
    </row>
    <row r="27" spans="1:8" x14ac:dyDescent="0.35">
      <c r="A27" t="s">
        <v>51</v>
      </c>
      <c r="B27" s="2">
        <v>46117</v>
      </c>
      <c r="C27" s="1" t="s">
        <v>9</v>
      </c>
      <c r="D27" s="1" t="s">
        <v>10</v>
      </c>
      <c r="E27" s="3">
        <v>7</v>
      </c>
      <c r="F27" s="8" t="str">
        <f>_xlfn.XLOOKUP(D27,Inventory_Table!$A$2:$A$10,Inventory_Table!$D$2:$D$10)</f>
        <v>₹250</v>
      </c>
      <c r="G27" s="1" t="str">
        <f>_xlfn.XLOOKUP(D27,Inventory_Table!$A$2:$A$10,Inventory_Table!$C$2:$C$10)</f>
        <v>Dairy</v>
      </c>
      <c r="H27" s="10">
        <f t="shared" si="0"/>
        <v>1750</v>
      </c>
    </row>
    <row r="28" spans="1:8" x14ac:dyDescent="0.35">
      <c r="A28" t="s">
        <v>52</v>
      </c>
      <c r="B28" s="2">
        <v>46121</v>
      </c>
      <c r="C28" s="1" t="s">
        <v>12</v>
      </c>
      <c r="D28" s="1" t="s">
        <v>13</v>
      </c>
      <c r="E28" s="3">
        <v>24</v>
      </c>
      <c r="F28" s="8" t="str">
        <f>_xlfn.XLOOKUP(D28,Inventory_Table!$A$2:$A$10,Inventory_Table!$D$2:$D$10)</f>
        <v>₹20</v>
      </c>
      <c r="G28" s="1" t="str">
        <f>_xlfn.XLOOKUP(D28,Inventory_Table!$A$2:$A$10,Inventory_Table!$C$2:$C$10)</f>
        <v>Snacks</v>
      </c>
      <c r="H28" s="10">
        <f t="shared" si="0"/>
        <v>480</v>
      </c>
    </row>
    <row r="29" spans="1:8" x14ac:dyDescent="0.35">
      <c r="A29" t="s">
        <v>53</v>
      </c>
      <c r="B29" s="2">
        <v>46125</v>
      </c>
      <c r="C29" s="1" t="s">
        <v>15</v>
      </c>
      <c r="D29" s="1" t="s">
        <v>16</v>
      </c>
      <c r="E29" s="3">
        <v>22</v>
      </c>
      <c r="F29" s="8" t="str">
        <f>_xlfn.XLOOKUP(D29,Inventory_Table!$A$2:$A$10,Inventory_Table!$D$2:$D$10)</f>
        <v>₹15</v>
      </c>
      <c r="G29" s="1" t="str">
        <f>_xlfn.XLOOKUP(D29,Inventory_Table!$A$2:$A$10,Inventory_Table!$C$2:$C$10)</f>
        <v>Instant Food</v>
      </c>
      <c r="H29" s="10">
        <f t="shared" si="0"/>
        <v>330</v>
      </c>
    </row>
    <row r="30" spans="1:8" x14ac:dyDescent="0.35">
      <c r="A30" t="s">
        <v>54</v>
      </c>
      <c r="B30" s="2">
        <v>46128</v>
      </c>
      <c r="C30" s="1" t="s">
        <v>18</v>
      </c>
      <c r="D30" s="1" t="s">
        <v>19</v>
      </c>
      <c r="E30" s="3">
        <v>13</v>
      </c>
      <c r="F30" s="8" t="str">
        <f>_xlfn.XLOOKUP(D30,Inventory_Table!$A$2:$A$10,Inventory_Table!$D$2:$D$10)</f>
        <v>₹45</v>
      </c>
      <c r="G30" s="1" t="str">
        <f>_xlfn.XLOOKUP(D30,Inventory_Table!$A$2:$A$10,Inventory_Table!$C$2:$C$10)</f>
        <v>Beverages</v>
      </c>
      <c r="H30" s="10">
        <f t="shared" si="0"/>
        <v>585</v>
      </c>
    </row>
    <row r="31" spans="1:8" x14ac:dyDescent="0.35">
      <c r="A31" t="s">
        <v>55</v>
      </c>
      <c r="B31" s="2">
        <v>46132</v>
      </c>
      <c r="C31" s="1" t="s">
        <v>21</v>
      </c>
      <c r="D31" s="1" t="s">
        <v>7</v>
      </c>
      <c r="E31" s="3">
        <v>17</v>
      </c>
      <c r="F31" s="8" t="str">
        <f>_xlfn.XLOOKUP(D31,Inventory_Table!$A$2:$A$10,Inventory_Table!$D$2:$D$10)</f>
        <v>₹175</v>
      </c>
      <c r="G31" s="1" t="str">
        <f>_xlfn.XLOOKUP(D31,Inventory_Table!$A$2:$A$10,Inventory_Table!$C$2:$C$10)</f>
        <v>Groceries</v>
      </c>
      <c r="H31" s="10">
        <f t="shared" si="0"/>
        <v>2975</v>
      </c>
    </row>
    <row r="32" spans="1:8" x14ac:dyDescent="0.35">
      <c r="A32" t="s">
        <v>56</v>
      </c>
      <c r="B32" s="2">
        <v>46135</v>
      </c>
      <c r="C32" s="1" t="s">
        <v>23</v>
      </c>
      <c r="D32" s="1" t="s">
        <v>39</v>
      </c>
      <c r="E32" s="3">
        <v>1</v>
      </c>
      <c r="F32" s="8" t="str">
        <f>_xlfn.XLOOKUP(D32,Inventory_Table!$A$2:$A$10,Inventory_Table!$D$2:$D$10)</f>
        <v>₹799</v>
      </c>
      <c r="G32" s="1" t="str">
        <f>_xlfn.XLOOKUP(D32,Inventory_Table!$A$2:$A$10,Inventory_Table!$C$2:$C$10)</f>
        <v>Seasonal</v>
      </c>
      <c r="H32" s="10">
        <f t="shared" si="0"/>
        <v>799</v>
      </c>
    </row>
    <row r="33" spans="1:8" x14ac:dyDescent="0.35">
      <c r="A33" t="s">
        <v>57</v>
      </c>
      <c r="B33" s="2">
        <v>46140</v>
      </c>
      <c r="C33" s="1" t="s">
        <v>26</v>
      </c>
      <c r="D33" s="1" t="s">
        <v>41</v>
      </c>
      <c r="E33" s="3">
        <v>3</v>
      </c>
      <c r="F33" s="8" t="str">
        <f>_xlfn.XLOOKUP(D33,Inventory_Table!$A$2:$A$10,Inventory_Table!$D$2:$D$10)</f>
        <v>₹699</v>
      </c>
      <c r="G33" s="1" t="str">
        <f>_xlfn.XLOOKUP(D33,Inventory_Table!$A$2:$A$10,Inventory_Table!$C$2:$C$10)</f>
        <v>Kitchenware</v>
      </c>
      <c r="H33" s="10">
        <f t="shared" si="0"/>
        <v>2097</v>
      </c>
    </row>
    <row r="34" spans="1:8" x14ac:dyDescent="0.35">
      <c r="A34" t="s">
        <v>58</v>
      </c>
      <c r="B34" s="2">
        <v>46145</v>
      </c>
      <c r="C34" s="1" t="s">
        <v>29</v>
      </c>
      <c r="D34" s="1" t="s">
        <v>7</v>
      </c>
      <c r="E34" s="3">
        <v>21</v>
      </c>
      <c r="F34" s="8" t="str">
        <f>_xlfn.XLOOKUP(D34,Inventory_Table!$A$2:$A$10,Inventory_Table!$D$2:$D$10)</f>
        <v>₹175</v>
      </c>
      <c r="G34" s="1" t="str">
        <f>_xlfn.XLOOKUP(D34,Inventory_Table!$A$2:$A$10,Inventory_Table!$C$2:$C$10)</f>
        <v>Groceries</v>
      </c>
      <c r="H34" s="10">
        <f t="shared" si="0"/>
        <v>3675</v>
      </c>
    </row>
    <row r="35" spans="1:8" ht="15" customHeight="1" x14ac:dyDescent="0.35">
      <c r="A35" t="s">
        <v>59</v>
      </c>
      <c r="B35" s="2">
        <v>46149</v>
      </c>
      <c r="C35" s="1" t="s">
        <v>31</v>
      </c>
      <c r="D35" s="1" t="s">
        <v>10</v>
      </c>
      <c r="E35" s="3">
        <v>10</v>
      </c>
      <c r="F35" s="8" t="str">
        <f>_xlfn.XLOOKUP(D35,Inventory_Table!$A$2:$A$10,Inventory_Table!$D$2:$D$10)</f>
        <v>₹250</v>
      </c>
      <c r="G35" s="1" t="str">
        <f>_xlfn.XLOOKUP(D35,Inventory_Table!$A$2:$A$10,Inventory_Table!$C$2:$C$10)</f>
        <v>Dairy</v>
      </c>
      <c r="H35" s="10">
        <f t="shared" si="0"/>
        <v>2500</v>
      </c>
    </row>
    <row r="36" spans="1:8" x14ac:dyDescent="0.35">
      <c r="A36" t="s">
        <v>60</v>
      </c>
      <c r="B36" s="2">
        <v>46153</v>
      </c>
      <c r="C36" s="1" t="s">
        <v>33</v>
      </c>
      <c r="D36" s="1" t="s">
        <v>13</v>
      </c>
      <c r="E36" s="3">
        <v>26</v>
      </c>
      <c r="F36" s="8" t="str">
        <f>_xlfn.XLOOKUP(D36,Inventory_Table!$A$2:$A$10,Inventory_Table!$D$2:$D$10)</f>
        <v>₹20</v>
      </c>
      <c r="G36" s="1" t="str">
        <f>_xlfn.XLOOKUP(D36,Inventory_Table!$A$2:$A$10,Inventory_Table!$C$2:$C$10)</f>
        <v>Snacks</v>
      </c>
      <c r="H36" s="10">
        <f t="shared" si="0"/>
        <v>520</v>
      </c>
    </row>
    <row r="37" spans="1:8" x14ac:dyDescent="0.35">
      <c r="A37" t="s">
        <v>61</v>
      </c>
      <c r="B37" s="2">
        <v>46157</v>
      </c>
      <c r="C37" s="1" t="s">
        <v>35</v>
      </c>
      <c r="D37" s="1" t="s">
        <v>16</v>
      </c>
      <c r="E37" s="3">
        <v>19</v>
      </c>
      <c r="F37" s="8" t="str">
        <f>_xlfn.XLOOKUP(D37,Inventory_Table!$A$2:$A$10,Inventory_Table!$D$2:$D$10)</f>
        <v>₹15</v>
      </c>
      <c r="G37" s="1" t="str">
        <f>_xlfn.XLOOKUP(D37,Inventory_Table!$A$2:$A$10,Inventory_Table!$C$2:$C$10)</f>
        <v>Instant Food</v>
      </c>
      <c r="H37" s="10">
        <f t="shared" si="0"/>
        <v>285</v>
      </c>
    </row>
    <row r="38" spans="1:8" x14ac:dyDescent="0.35">
      <c r="A38" t="s">
        <v>62</v>
      </c>
      <c r="B38" s="2">
        <v>46160</v>
      </c>
      <c r="C38" s="1" t="s">
        <v>6</v>
      </c>
      <c r="D38" s="1" t="s">
        <v>19</v>
      </c>
      <c r="E38" s="3">
        <v>15</v>
      </c>
      <c r="F38" s="8" t="str">
        <f>_xlfn.XLOOKUP(D38,Inventory_Table!$A$2:$A$10,Inventory_Table!$D$2:$D$10)</f>
        <v>₹45</v>
      </c>
      <c r="G38" s="1" t="str">
        <f>_xlfn.XLOOKUP(D38,Inventory_Table!$A$2:$A$10,Inventory_Table!$C$2:$C$10)</f>
        <v>Beverages</v>
      </c>
      <c r="H38" s="10">
        <f t="shared" si="0"/>
        <v>675</v>
      </c>
    </row>
    <row r="39" spans="1:8" x14ac:dyDescent="0.35">
      <c r="A39" t="s">
        <v>63</v>
      </c>
      <c r="B39" s="2">
        <v>46163</v>
      </c>
      <c r="C39" s="1" t="s">
        <v>9</v>
      </c>
      <c r="D39" s="1" t="s">
        <v>7</v>
      </c>
      <c r="E39" s="3">
        <v>20</v>
      </c>
      <c r="F39" s="8" t="str">
        <f>_xlfn.XLOOKUP(D39,Inventory_Table!$A$2:$A$10,Inventory_Table!$D$2:$D$10)</f>
        <v>₹175</v>
      </c>
      <c r="G39" s="1" t="str">
        <f>_xlfn.XLOOKUP(D39,Inventory_Table!$A$2:$A$10,Inventory_Table!$C$2:$C$10)</f>
        <v>Groceries</v>
      </c>
      <c r="H39" s="10">
        <f t="shared" si="0"/>
        <v>3500</v>
      </c>
    </row>
    <row r="40" spans="1:8" x14ac:dyDescent="0.35">
      <c r="A40" t="s">
        <v>64</v>
      </c>
      <c r="B40" s="2">
        <v>46167</v>
      </c>
      <c r="C40" s="1" t="s">
        <v>12</v>
      </c>
      <c r="D40" s="1" t="s">
        <v>24</v>
      </c>
      <c r="E40" s="3">
        <v>2</v>
      </c>
      <c r="F40" s="8" t="str">
        <f>_xlfn.XLOOKUP(D40,Inventory_Table!$A$2:$A$10,Inventory_Table!$D$2:$D$10)</f>
        <v>₹2,499</v>
      </c>
      <c r="G40" s="1" t="str">
        <f>_xlfn.XLOOKUP(D40,Inventory_Table!$A$2:$A$10,Inventory_Table!$C$2:$C$10)</f>
        <v>Kitchenware</v>
      </c>
      <c r="H40" s="10">
        <f t="shared" si="0"/>
        <v>4998</v>
      </c>
    </row>
    <row r="41" spans="1:8" x14ac:dyDescent="0.35">
      <c r="A41" t="s">
        <v>65</v>
      </c>
      <c r="B41" s="2">
        <v>46171</v>
      </c>
      <c r="C41" s="1" t="s">
        <v>15</v>
      </c>
      <c r="D41" s="1" t="s">
        <v>27</v>
      </c>
      <c r="E41" s="3">
        <v>3</v>
      </c>
      <c r="F41" s="8" t="str">
        <f>_xlfn.XLOOKUP(D41,Inventory_Table!$A$2:$A$10,Inventory_Table!$D$2:$D$10)</f>
        <v>₹1,899</v>
      </c>
      <c r="G41" s="1" t="str">
        <f>_xlfn.XLOOKUP(D41,Inventory_Table!$A$2:$A$10,Inventory_Table!$C$2:$C$10)</f>
        <v>Kitchenware</v>
      </c>
      <c r="H41" s="10">
        <f t="shared" si="0"/>
        <v>5697</v>
      </c>
    </row>
    <row r="42" spans="1:8" x14ac:dyDescent="0.35">
      <c r="A42" t="s">
        <v>66</v>
      </c>
      <c r="B42" s="2">
        <v>46175</v>
      </c>
      <c r="C42" s="1" t="s">
        <v>18</v>
      </c>
      <c r="D42" s="1" t="s">
        <v>7</v>
      </c>
      <c r="E42" s="3">
        <v>24</v>
      </c>
      <c r="F42" s="8" t="str">
        <f>_xlfn.XLOOKUP(D42,Inventory_Table!$A$2:$A$10,Inventory_Table!$D$2:$D$10)</f>
        <v>₹175</v>
      </c>
      <c r="G42" s="1" t="str">
        <f>_xlfn.XLOOKUP(D42,Inventory_Table!$A$2:$A$10,Inventory_Table!$C$2:$C$10)</f>
        <v>Groceries</v>
      </c>
      <c r="H42" s="10">
        <f t="shared" si="0"/>
        <v>4200</v>
      </c>
    </row>
    <row r="43" spans="1:8" x14ac:dyDescent="0.35">
      <c r="A43" t="s">
        <v>67</v>
      </c>
      <c r="B43" s="2">
        <v>46179</v>
      </c>
      <c r="C43" s="1" t="s">
        <v>21</v>
      </c>
      <c r="D43" s="1" t="s">
        <v>10</v>
      </c>
      <c r="E43" s="3">
        <v>12</v>
      </c>
      <c r="F43" s="8" t="str">
        <f>_xlfn.XLOOKUP(D43,Inventory_Table!$A$2:$A$10,Inventory_Table!$D$2:$D$10)</f>
        <v>₹250</v>
      </c>
      <c r="G43" s="1" t="str">
        <f>_xlfn.XLOOKUP(D43,Inventory_Table!$A$2:$A$10,Inventory_Table!$C$2:$C$10)</f>
        <v>Dairy</v>
      </c>
      <c r="H43" s="10">
        <f t="shared" si="0"/>
        <v>3000</v>
      </c>
    </row>
    <row r="44" spans="1:8" x14ac:dyDescent="0.35">
      <c r="A44" t="s">
        <v>68</v>
      </c>
      <c r="B44" s="2">
        <v>46183</v>
      </c>
      <c r="C44" s="1" t="s">
        <v>23</v>
      </c>
      <c r="D44" s="1" t="s">
        <v>13</v>
      </c>
      <c r="E44" s="3">
        <v>28</v>
      </c>
      <c r="F44" s="8" t="str">
        <f>_xlfn.XLOOKUP(D44,Inventory_Table!$A$2:$A$10,Inventory_Table!$D$2:$D$10)</f>
        <v>₹20</v>
      </c>
      <c r="G44" s="1" t="str">
        <f>_xlfn.XLOOKUP(D44,Inventory_Table!$A$2:$A$10,Inventory_Table!$C$2:$C$10)</f>
        <v>Snacks</v>
      </c>
      <c r="H44" s="10">
        <f t="shared" si="0"/>
        <v>560</v>
      </c>
    </row>
    <row r="45" spans="1:8" x14ac:dyDescent="0.35">
      <c r="A45" t="s">
        <v>69</v>
      </c>
      <c r="B45" s="2">
        <v>46187</v>
      </c>
      <c r="C45" s="1" t="s">
        <v>26</v>
      </c>
      <c r="D45" s="1" t="s">
        <v>16</v>
      </c>
      <c r="E45" s="3">
        <v>25</v>
      </c>
      <c r="F45" s="8" t="str">
        <f>_xlfn.XLOOKUP(D45,Inventory_Table!$A$2:$A$10,Inventory_Table!$D$2:$D$10)</f>
        <v>₹15</v>
      </c>
      <c r="G45" s="1" t="str">
        <f>_xlfn.XLOOKUP(D45,Inventory_Table!$A$2:$A$10,Inventory_Table!$C$2:$C$10)</f>
        <v>Instant Food</v>
      </c>
      <c r="H45" s="10">
        <f t="shared" si="0"/>
        <v>375</v>
      </c>
    </row>
    <row r="46" spans="1:8" x14ac:dyDescent="0.35">
      <c r="A46" t="s">
        <v>70</v>
      </c>
      <c r="B46" s="2">
        <v>46190</v>
      </c>
      <c r="C46" s="1" t="s">
        <v>29</v>
      </c>
      <c r="D46" s="1" t="s">
        <v>19</v>
      </c>
      <c r="E46" s="3">
        <v>16</v>
      </c>
      <c r="F46" s="8" t="str">
        <f>_xlfn.XLOOKUP(D46,Inventory_Table!$A$2:$A$10,Inventory_Table!$D$2:$D$10)</f>
        <v>₹45</v>
      </c>
      <c r="G46" s="1" t="str">
        <f>_xlfn.XLOOKUP(D46,Inventory_Table!$A$2:$A$10,Inventory_Table!$C$2:$C$10)</f>
        <v>Beverages</v>
      </c>
      <c r="H46" s="10">
        <f t="shared" si="0"/>
        <v>720</v>
      </c>
    </row>
    <row r="47" spans="1:8" x14ac:dyDescent="0.35">
      <c r="A47" t="s">
        <v>71</v>
      </c>
      <c r="B47" s="2">
        <v>46193</v>
      </c>
      <c r="C47" s="1" t="s">
        <v>31</v>
      </c>
      <c r="D47" s="1" t="s">
        <v>7</v>
      </c>
      <c r="E47" s="3">
        <v>22</v>
      </c>
      <c r="F47" s="8" t="str">
        <f>_xlfn.XLOOKUP(D47,Inventory_Table!$A$2:$A$10,Inventory_Table!$D$2:$D$10)</f>
        <v>₹175</v>
      </c>
      <c r="G47" s="1" t="str">
        <f>_xlfn.XLOOKUP(D47,Inventory_Table!$A$2:$A$10,Inventory_Table!$C$2:$C$10)</f>
        <v>Groceries</v>
      </c>
      <c r="H47" s="10">
        <f t="shared" si="0"/>
        <v>3850</v>
      </c>
    </row>
    <row r="48" spans="1:8" x14ac:dyDescent="0.35">
      <c r="A48" t="s">
        <v>72</v>
      </c>
      <c r="B48" s="2">
        <v>46196</v>
      </c>
      <c r="C48" s="1" t="s">
        <v>33</v>
      </c>
      <c r="D48" s="1" t="s">
        <v>39</v>
      </c>
      <c r="E48" s="3">
        <v>1</v>
      </c>
      <c r="F48" s="8" t="str">
        <f>_xlfn.XLOOKUP(D48,Inventory_Table!$A$2:$A$10,Inventory_Table!$D$2:$D$10)</f>
        <v>₹799</v>
      </c>
      <c r="G48" s="1" t="str">
        <f>_xlfn.XLOOKUP(D48,Inventory_Table!$A$2:$A$10,Inventory_Table!$C$2:$C$10)</f>
        <v>Seasonal</v>
      </c>
      <c r="H48" s="10">
        <f t="shared" si="0"/>
        <v>799</v>
      </c>
    </row>
    <row r="49" spans="1:8" x14ac:dyDescent="0.35">
      <c r="A49" t="s">
        <v>73</v>
      </c>
      <c r="B49" s="2">
        <v>46198</v>
      </c>
      <c r="C49" s="1" t="s">
        <v>35</v>
      </c>
      <c r="D49" s="1" t="s">
        <v>41</v>
      </c>
      <c r="E49" s="3">
        <v>2</v>
      </c>
      <c r="F49" s="8" t="str">
        <f>_xlfn.XLOOKUP(D49,Inventory_Table!$A$2:$A$10,Inventory_Table!$D$2:$D$10)</f>
        <v>₹699</v>
      </c>
      <c r="G49" s="1" t="str">
        <f>_xlfn.XLOOKUP(D49,Inventory_Table!$A$2:$A$10,Inventory_Table!$C$2:$C$10)</f>
        <v>Kitchenware</v>
      </c>
      <c r="H49" s="10">
        <f t="shared" si="0"/>
        <v>1398</v>
      </c>
    </row>
    <row r="50" spans="1:8" x14ac:dyDescent="0.35">
      <c r="A50" t="s">
        <v>74</v>
      </c>
      <c r="B50" s="2">
        <v>46200</v>
      </c>
      <c r="C50" s="1" t="s">
        <v>6</v>
      </c>
      <c r="D50" s="1" t="s">
        <v>7</v>
      </c>
      <c r="E50" s="3">
        <v>18</v>
      </c>
      <c r="F50" s="8" t="str">
        <f>_xlfn.XLOOKUP(D50,Inventory_Table!$A$2:$A$10,Inventory_Table!$D$2:$D$10)</f>
        <v>₹175</v>
      </c>
      <c r="G50" s="1" t="str">
        <f>_xlfn.XLOOKUP(D50,Inventory_Table!$A$2:$A$10,Inventory_Table!$C$2:$C$10)</f>
        <v>Groceries</v>
      </c>
      <c r="H50" s="10">
        <f t="shared" si="0"/>
        <v>3150</v>
      </c>
    </row>
    <row r="51" spans="1:8" x14ac:dyDescent="0.35">
      <c r="A51" t="s">
        <v>75</v>
      </c>
      <c r="B51" s="2">
        <v>46202</v>
      </c>
      <c r="C51" s="1" t="s">
        <v>9</v>
      </c>
      <c r="D51" s="1" t="s">
        <v>10</v>
      </c>
      <c r="E51" s="3">
        <v>9</v>
      </c>
      <c r="F51" s="8" t="str">
        <f>_xlfn.XLOOKUP(D51,Inventory_Table!$A$2:$A$10,Inventory_Table!$D$2:$D$10)</f>
        <v>₹250</v>
      </c>
      <c r="G51" s="1" t="str">
        <f>_xlfn.XLOOKUP(D51,Inventory_Table!$A$2:$A$10,Inventory_Table!$C$2:$C$10)</f>
        <v>Dairy</v>
      </c>
      <c r="H51" s="10">
        <f t="shared" si="0"/>
        <v>2250</v>
      </c>
    </row>
    <row r="52" spans="1:8" x14ac:dyDescent="0.35">
      <c r="A52" s="1"/>
      <c r="B52" s="2"/>
      <c r="C52" s="1"/>
      <c r="E52" s="3"/>
    </row>
    <row r="53" spans="1:8" x14ac:dyDescent="0.35">
      <c r="B53" s="1"/>
    </row>
  </sheetData>
  <autoFilter ref="A1:H51" xr:uid="{00000000-0001-0000-0000-000000000000}"/>
  <phoneticPr fontId="4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DFC7-F09E-4062-B7A5-33C83A1AC3FE}">
  <dimension ref="A1:E34"/>
  <sheetViews>
    <sheetView zoomScale="66" workbookViewId="0">
      <selection activeCell="C7" sqref="C7"/>
    </sheetView>
  </sheetViews>
  <sheetFormatPr defaultRowHeight="14.5" x14ac:dyDescent="0.35"/>
  <cols>
    <col min="1" max="1" width="24.1796875" bestFit="1" customWidth="1"/>
    <col min="2" max="2" width="17" bestFit="1" customWidth="1"/>
    <col min="3" max="3" width="20.08984375" bestFit="1" customWidth="1"/>
    <col min="4" max="4" width="19.08984375" bestFit="1" customWidth="1"/>
    <col min="5" max="5" width="22.26953125" customWidth="1"/>
  </cols>
  <sheetData>
    <row r="1" spans="1:5" x14ac:dyDescent="0.35">
      <c r="A1" s="14" t="s">
        <v>150</v>
      </c>
      <c r="B1" t="s">
        <v>156</v>
      </c>
    </row>
    <row r="3" spans="1:5" x14ac:dyDescent="0.35">
      <c r="A3" s="14" t="s">
        <v>155</v>
      </c>
      <c r="B3" t="s">
        <v>153</v>
      </c>
      <c r="C3" t="s">
        <v>152</v>
      </c>
      <c r="D3" t="s">
        <v>154</v>
      </c>
      <c r="E3" s="17" t="s">
        <v>157</v>
      </c>
    </row>
    <row r="4" spans="1:5" x14ac:dyDescent="0.35">
      <c r="A4" s="5" t="s">
        <v>87</v>
      </c>
      <c r="B4">
        <v>60</v>
      </c>
      <c r="C4">
        <v>12</v>
      </c>
      <c r="D4">
        <v>35.571428571428569</v>
      </c>
      <c r="E4">
        <f>B4-C4+D4</f>
        <v>83.571428571428569</v>
      </c>
    </row>
    <row r="5" spans="1:5" x14ac:dyDescent="0.35">
      <c r="A5" s="15" t="s">
        <v>88</v>
      </c>
      <c r="B5">
        <v>60</v>
      </c>
      <c r="C5">
        <v>12</v>
      </c>
      <c r="D5">
        <v>35.571428571428569</v>
      </c>
      <c r="E5">
        <f t="shared" ref="E5:E34" si="0">B5-C5+D5</f>
        <v>83.571428571428569</v>
      </c>
    </row>
    <row r="6" spans="1:5" x14ac:dyDescent="0.35">
      <c r="A6" s="16" t="s">
        <v>90</v>
      </c>
      <c r="B6">
        <v>60</v>
      </c>
      <c r="C6">
        <v>12</v>
      </c>
      <c r="D6">
        <v>35.571428571428569</v>
      </c>
      <c r="E6">
        <f t="shared" si="0"/>
        <v>83.571428571428569</v>
      </c>
    </row>
    <row r="7" spans="1:5" x14ac:dyDescent="0.35">
      <c r="A7" s="5" t="s">
        <v>99</v>
      </c>
      <c r="B7">
        <v>240</v>
      </c>
      <c r="C7">
        <v>70</v>
      </c>
      <c r="D7">
        <v>121.66666666666666</v>
      </c>
      <c r="E7">
        <f t="shared" si="0"/>
        <v>291.66666666666663</v>
      </c>
    </row>
    <row r="8" spans="1:5" x14ac:dyDescent="0.35">
      <c r="A8" s="15" t="s">
        <v>100</v>
      </c>
      <c r="B8">
        <v>240</v>
      </c>
      <c r="C8">
        <v>70</v>
      </c>
      <c r="D8">
        <v>121.66666666666666</v>
      </c>
      <c r="E8">
        <f t="shared" si="0"/>
        <v>291.66666666666663</v>
      </c>
    </row>
    <row r="9" spans="1:5" x14ac:dyDescent="0.35">
      <c r="A9" s="16" t="s">
        <v>102</v>
      </c>
      <c r="B9">
        <v>240</v>
      </c>
      <c r="C9">
        <v>70</v>
      </c>
      <c r="D9">
        <v>121.66666666666666</v>
      </c>
      <c r="E9">
        <f t="shared" si="0"/>
        <v>291.66666666666663</v>
      </c>
    </row>
    <row r="10" spans="1:5" x14ac:dyDescent="0.35">
      <c r="A10" s="5" t="s">
        <v>80</v>
      </c>
      <c r="B10">
        <v>192</v>
      </c>
      <c r="C10">
        <v>45</v>
      </c>
      <c r="D10">
        <v>110.07692307692308</v>
      </c>
      <c r="E10">
        <f t="shared" si="0"/>
        <v>257.07692307692309</v>
      </c>
    </row>
    <row r="11" spans="1:5" x14ac:dyDescent="0.35">
      <c r="A11" s="15" t="s">
        <v>81</v>
      </c>
      <c r="B11">
        <v>192</v>
      </c>
      <c r="C11">
        <v>45</v>
      </c>
      <c r="D11">
        <v>110.07692307692308</v>
      </c>
      <c r="E11">
        <f t="shared" si="0"/>
        <v>257.07692307692309</v>
      </c>
    </row>
    <row r="12" spans="1:5" x14ac:dyDescent="0.35">
      <c r="A12" s="16" t="s">
        <v>83</v>
      </c>
      <c r="B12">
        <v>192</v>
      </c>
      <c r="C12">
        <v>45</v>
      </c>
      <c r="D12">
        <v>110.07692307692308</v>
      </c>
      <c r="E12">
        <f t="shared" si="0"/>
        <v>257.07692307692309</v>
      </c>
    </row>
    <row r="13" spans="1:5" x14ac:dyDescent="0.35">
      <c r="A13" s="5" t="s">
        <v>113</v>
      </c>
      <c r="B13">
        <v>28</v>
      </c>
      <c r="C13">
        <v>110</v>
      </c>
      <c r="D13">
        <v>16</v>
      </c>
      <c r="E13">
        <f t="shared" si="0"/>
        <v>-66</v>
      </c>
    </row>
    <row r="14" spans="1:5" x14ac:dyDescent="0.35">
      <c r="A14" s="15" t="s">
        <v>85</v>
      </c>
      <c r="B14">
        <v>28</v>
      </c>
      <c r="C14">
        <v>110</v>
      </c>
      <c r="D14">
        <v>16</v>
      </c>
      <c r="E14">
        <f t="shared" si="0"/>
        <v>-66</v>
      </c>
    </row>
    <row r="15" spans="1:5" x14ac:dyDescent="0.35">
      <c r="A15" s="16" t="s">
        <v>115</v>
      </c>
      <c r="B15">
        <v>28</v>
      </c>
      <c r="C15">
        <v>110</v>
      </c>
      <c r="D15">
        <v>16</v>
      </c>
      <c r="E15">
        <f t="shared" si="0"/>
        <v>-66</v>
      </c>
    </row>
    <row r="16" spans="1:5" x14ac:dyDescent="0.35">
      <c r="A16" s="5" t="s">
        <v>91</v>
      </c>
      <c r="B16">
        <v>392</v>
      </c>
      <c r="C16">
        <v>85</v>
      </c>
      <c r="D16">
        <v>220</v>
      </c>
      <c r="E16">
        <f t="shared" si="0"/>
        <v>527</v>
      </c>
    </row>
    <row r="17" spans="1:5" x14ac:dyDescent="0.35">
      <c r="A17" s="15" t="s">
        <v>92</v>
      </c>
      <c r="B17">
        <v>392</v>
      </c>
      <c r="C17">
        <v>85</v>
      </c>
      <c r="D17">
        <v>220</v>
      </c>
      <c r="E17">
        <f t="shared" si="0"/>
        <v>527</v>
      </c>
    </row>
    <row r="18" spans="1:5" x14ac:dyDescent="0.35">
      <c r="A18" s="16" t="s">
        <v>94</v>
      </c>
      <c r="B18">
        <v>392</v>
      </c>
      <c r="C18">
        <v>85</v>
      </c>
      <c r="D18">
        <v>220</v>
      </c>
      <c r="E18">
        <f t="shared" si="0"/>
        <v>527</v>
      </c>
    </row>
    <row r="19" spans="1:5" x14ac:dyDescent="0.35">
      <c r="A19" s="5" t="s">
        <v>95</v>
      </c>
      <c r="B19">
        <v>500</v>
      </c>
      <c r="C19">
        <v>95</v>
      </c>
      <c r="D19">
        <v>264</v>
      </c>
      <c r="E19">
        <f t="shared" si="0"/>
        <v>669</v>
      </c>
    </row>
    <row r="20" spans="1:5" x14ac:dyDescent="0.35">
      <c r="A20" s="15" t="s">
        <v>96</v>
      </c>
      <c r="B20">
        <v>500</v>
      </c>
      <c r="C20">
        <v>95</v>
      </c>
      <c r="D20">
        <v>264</v>
      </c>
      <c r="E20">
        <f t="shared" si="0"/>
        <v>669</v>
      </c>
    </row>
    <row r="21" spans="1:5" x14ac:dyDescent="0.35">
      <c r="A21" s="16" t="s">
        <v>98</v>
      </c>
      <c r="B21">
        <v>500</v>
      </c>
      <c r="C21">
        <v>95</v>
      </c>
      <c r="D21">
        <v>264</v>
      </c>
      <c r="E21">
        <f t="shared" si="0"/>
        <v>669</v>
      </c>
    </row>
    <row r="22" spans="1:5" x14ac:dyDescent="0.35">
      <c r="A22" s="5" t="s">
        <v>106</v>
      </c>
      <c r="B22">
        <v>36</v>
      </c>
      <c r="C22">
        <v>120</v>
      </c>
      <c r="D22">
        <v>17.333333333333336</v>
      </c>
      <c r="E22">
        <f t="shared" si="0"/>
        <v>-66.666666666666657</v>
      </c>
    </row>
    <row r="23" spans="1:5" x14ac:dyDescent="0.35">
      <c r="A23" s="15" t="s">
        <v>85</v>
      </c>
      <c r="B23">
        <v>36</v>
      </c>
      <c r="C23">
        <v>120</v>
      </c>
      <c r="D23">
        <v>17.333333333333336</v>
      </c>
      <c r="E23">
        <f t="shared" si="0"/>
        <v>-66.666666666666657</v>
      </c>
    </row>
    <row r="24" spans="1:5" x14ac:dyDescent="0.35">
      <c r="A24" s="16" t="s">
        <v>108</v>
      </c>
      <c r="B24">
        <v>36</v>
      </c>
      <c r="C24">
        <v>120</v>
      </c>
      <c r="D24">
        <v>17.333333333333336</v>
      </c>
      <c r="E24">
        <f t="shared" si="0"/>
        <v>-66.666666666666657</v>
      </c>
    </row>
    <row r="25" spans="1:5" x14ac:dyDescent="0.35">
      <c r="A25" s="5" t="s">
        <v>103</v>
      </c>
      <c r="B25">
        <v>12</v>
      </c>
      <c r="C25">
        <v>150</v>
      </c>
      <c r="D25">
        <v>5.333333333333333</v>
      </c>
      <c r="E25">
        <f t="shared" si="0"/>
        <v>-132.66666666666666</v>
      </c>
    </row>
    <row r="26" spans="1:5" x14ac:dyDescent="0.35">
      <c r="A26" s="15" t="s">
        <v>85</v>
      </c>
      <c r="B26">
        <v>12</v>
      </c>
      <c r="C26">
        <v>150</v>
      </c>
      <c r="D26">
        <v>5.333333333333333</v>
      </c>
      <c r="E26">
        <f t="shared" si="0"/>
        <v>-132.66666666666666</v>
      </c>
    </row>
    <row r="27" spans="1:5" x14ac:dyDescent="0.35">
      <c r="A27" s="16" t="s">
        <v>105</v>
      </c>
      <c r="B27">
        <v>12</v>
      </c>
      <c r="C27">
        <v>150</v>
      </c>
      <c r="D27">
        <v>5.333333333333333</v>
      </c>
      <c r="E27">
        <f t="shared" si="0"/>
        <v>-132.66666666666666</v>
      </c>
    </row>
    <row r="28" spans="1:5" x14ac:dyDescent="0.35">
      <c r="A28" s="5" t="s">
        <v>109</v>
      </c>
      <c r="B28">
        <v>10</v>
      </c>
      <c r="C28">
        <v>200</v>
      </c>
      <c r="D28">
        <v>6</v>
      </c>
      <c r="E28">
        <f t="shared" si="0"/>
        <v>-184</v>
      </c>
    </row>
    <row r="29" spans="1:5" x14ac:dyDescent="0.35">
      <c r="A29" s="15" t="s">
        <v>110</v>
      </c>
      <c r="B29">
        <v>10</v>
      </c>
      <c r="C29">
        <v>200</v>
      </c>
      <c r="D29">
        <v>6</v>
      </c>
      <c r="E29">
        <f t="shared" si="0"/>
        <v>-184</v>
      </c>
    </row>
    <row r="30" spans="1:5" x14ac:dyDescent="0.35">
      <c r="A30" s="16" t="s">
        <v>112</v>
      </c>
      <c r="B30">
        <v>10</v>
      </c>
      <c r="C30">
        <v>200</v>
      </c>
      <c r="D30">
        <v>6</v>
      </c>
      <c r="E30">
        <f t="shared" si="0"/>
        <v>-184</v>
      </c>
    </row>
    <row r="31" spans="1:5" x14ac:dyDescent="0.35">
      <c r="A31" s="5" t="s">
        <v>84</v>
      </c>
      <c r="B31">
        <v>0</v>
      </c>
      <c r="C31">
        <v>180</v>
      </c>
      <c r="D31">
        <v>0</v>
      </c>
      <c r="E31">
        <f t="shared" si="0"/>
        <v>-180</v>
      </c>
    </row>
    <row r="32" spans="1:5" x14ac:dyDescent="0.35">
      <c r="A32" s="15" t="s">
        <v>85</v>
      </c>
      <c r="B32">
        <v>0</v>
      </c>
      <c r="C32">
        <v>180</v>
      </c>
      <c r="D32">
        <v>0</v>
      </c>
      <c r="E32">
        <f t="shared" si="0"/>
        <v>-180</v>
      </c>
    </row>
    <row r="33" spans="1:5" x14ac:dyDescent="0.35">
      <c r="A33" s="16" t="s">
        <v>86</v>
      </c>
      <c r="B33">
        <v>0</v>
      </c>
      <c r="C33">
        <v>180</v>
      </c>
      <c r="D33">
        <v>0</v>
      </c>
      <c r="E33">
        <f t="shared" si="0"/>
        <v>-180</v>
      </c>
    </row>
    <row r="34" spans="1:5" x14ac:dyDescent="0.35">
      <c r="A34" s="5" t="s">
        <v>151</v>
      </c>
      <c r="B34">
        <v>1470</v>
      </c>
      <c r="C34">
        <v>1067</v>
      </c>
      <c r="D34">
        <v>795.98168498168502</v>
      </c>
      <c r="E34" s="17">
        <f t="shared" si="0"/>
        <v>1198.981684981685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9534-F5D7-4B97-AF0B-3A079AAF3C8E}">
  <dimension ref="A1:AB11"/>
  <sheetViews>
    <sheetView tabSelected="1" topLeftCell="F1" zoomScale="74" workbookViewId="0">
      <selection activeCell="K14" sqref="K14"/>
    </sheetView>
  </sheetViews>
  <sheetFormatPr defaultRowHeight="14.5" x14ac:dyDescent="0.35"/>
  <cols>
    <col min="1" max="1" width="14.7265625" customWidth="1"/>
    <col min="2" max="2" width="27.453125" customWidth="1"/>
    <col min="3" max="3" width="24.08984375" customWidth="1"/>
    <col min="4" max="5" width="19.54296875" customWidth="1"/>
    <col min="6" max="6" width="26.6328125" customWidth="1"/>
    <col min="7" max="7" width="22.54296875" customWidth="1"/>
    <col min="8" max="8" width="26.08984375" customWidth="1"/>
    <col min="9" max="9" width="26.90625" customWidth="1"/>
    <col min="10" max="10" width="27.54296875" customWidth="1"/>
    <col min="11" max="11" width="30.36328125" customWidth="1"/>
    <col min="12" max="12" width="14.08984375" customWidth="1"/>
    <col min="13" max="13" width="13.54296875" customWidth="1"/>
    <col min="14" max="14" width="14.26953125" customWidth="1"/>
    <col min="15" max="15" width="16.08984375" customWidth="1"/>
    <col min="16" max="16" width="15.54296875" customWidth="1"/>
    <col min="17" max="17" width="13.81640625" customWidth="1"/>
    <col min="18" max="18" width="14.08984375" customWidth="1"/>
    <col min="19" max="19" width="24.36328125" customWidth="1"/>
    <col min="20" max="20" width="25.36328125" customWidth="1"/>
    <col min="21" max="21" width="17.08984375" customWidth="1"/>
    <col min="22" max="22" width="15.36328125" customWidth="1"/>
    <col min="23" max="23" width="17.6328125" customWidth="1"/>
    <col min="24" max="24" width="24.6328125" customWidth="1"/>
    <col min="25" max="25" width="25.6328125" customWidth="1"/>
    <col min="26" max="26" width="18.81640625" customWidth="1"/>
    <col min="27" max="27" width="19.90625" customWidth="1"/>
    <col min="28" max="28" width="35.7265625" customWidth="1"/>
  </cols>
  <sheetData>
    <row r="1" spans="1:28" x14ac:dyDescent="0.35">
      <c r="A1" s="4" t="s">
        <v>3</v>
      </c>
      <c r="B1" s="4" t="s">
        <v>76</v>
      </c>
      <c r="C1" s="4" t="s">
        <v>77</v>
      </c>
      <c r="D1" s="4" t="s">
        <v>160</v>
      </c>
      <c r="E1" s="4" t="s">
        <v>78</v>
      </c>
      <c r="F1" s="4" t="s">
        <v>79</v>
      </c>
      <c r="G1" s="4" t="s">
        <v>131</v>
      </c>
      <c r="H1" s="4" t="s">
        <v>132</v>
      </c>
      <c r="I1" s="4" t="s">
        <v>161</v>
      </c>
      <c r="J1" s="4" t="s">
        <v>159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144</v>
      </c>
      <c r="W1" s="4" t="s">
        <v>145</v>
      </c>
      <c r="X1" s="4" t="s">
        <v>146</v>
      </c>
      <c r="Y1" s="4" t="s">
        <v>147</v>
      </c>
      <c r="Z1" s="4" t="s">
        <v>148</v>
      </c>
      <c r="AA1" s="4" t="s">
        <v>149</v>
      </c>
      <c r="AB1" s="4" t="s">
        <v>150</v>
      </c>
    </row>
    <row r="2" spans="1:28" x14ac:dyDescent="0.35">
      <c r="A2" t="s">
        <v>7</v>
      </c>
      <c r="B2" t="s">
        <v>80</v>
      </c>
      <c r="C2" s="5" t="s">
        <v>81</v>
      </c>
      <c r="D2" t="s">
        <v>82</v>
      </c>
      <c r="E2" s="1">
        <v>45</v>
      </c>
      <c r="F2" t="s">
        <v>83</v>
      </c>
      <c r="G2">
        <f>SUMIF(Sales_Log!$D$2:$D$51,A2,Sales_Log!$E$2:$E$51)</f>
        <v>213</v>
      </c>
      <c r="H2" s="10">
        <f>SUMIFS(Sales_Log!$H$2:$H$51,Sales_Log!$D$2:$D$51,A2)</f>
        <v>37275</v>
      </c>
      <c r="I2">
        <f>IFERROR(AVERAGEIFS(Sales_Log!$E$2:$E$51,Sales_Log!$D$2:$D$51,A2),0)</f>
        <v>16.384615384615383</v>
      </c>
      <c r="J2">
        <f>IFERROR(_xlfn.MAXIFS(Sales_Log!$E$2:$E$54,Sales_Log!$D$2:$D$54,A2),0)</f>
        <v>24</v>
      </c>
      <c r="K2" s="12">
        <f>H2/SUM($H$2:$H$10)</f>
        <v>0.38729687045426209</v>
      </c>
      <c r="L2" s="1" t="str" cm="1">
        <f t="array" ref="L2">_xlfn.IFS(K2&lt;=70%,"A",K2&lt;=90%,"B",TRUE,"C")</f>
        <v>A</v>
      </c>
      <c r="M2">
        <f>SUMIFS(Sales_Log!$E$2:$E$51,Sales_Log!$D$2:$D$51,$A2,Sales_Log!$B$2:$B$51,"&gt;="&amp;DATE(2026,1,1),Sales_Log!$B$2:$B$51,"&lt;"&amp;DATE(2026,2,1))</f>
        <v>18</v>
      </c>
      <c r="N2">
        <f>SUMIFS(Sales_Log!$E$2:$E$54,Sales_Log!$D$2:$D$54,$A2,Sales_Log!$B$2:$B$54,"&gt;="&amp;DATE(2026,2,1),Sales_Log!$B$2:$B$54,"&lt;"&amp;DATE(2026,3,1))</f>
        <v>25</v>
      </c>
      <c r="O2">
        <f>SUMIFS(Sales_Log!$E$2:$E$54,Sales_Log!$D$2:$D$54,$A2,Sales_Log!$B$2:$B$54,"&gt;="&amp;DATE(2026,3,1),Sales_Log!$B$2:$B$54,"&lt;"&amp;DATE(2026,4,1))</f>
        <v>29</v>
      </c>
      <c r="P2">
        <f>SUMIFS(Sales_Log!$E$2:$E$54,Sales_Log!$D$2:$D$54,$A2,Sales_Log!$B$2:$B$54,"&gt;="&amp;DATE(2026,4,1),Sales_Log!$B$2:$B$54,"&lt;"&amp;DATE(2026,5,1))</f>
        <v>36</v>
      </c>
      <c r="Q2">
        <f>SUMIFS(Sales_Log!$E$2:$E$54,Sales_Log!$D$2:$D$54,$A2,Sales_Log!$B$2:$B$54,"&gt;="&amp;DATE(2026,5,1),Sales_Log!$B$2:$B$54,"&lt;"&amp;DATE(2026,6,1))</f>
        <v>41</v>
      </c>
      <c r="R2">
        <f>SUMIFS(Sales_Log!$E$2:$E$54,Sales_Log!$D$2:$D$54,$A2,Sales_Log!$B$2:$B$54,"&gt;="&amp;DATE(2026,6,1),Sales_Log!$B$2:$B$54,"&lt;"&amp;DATE(2026,7,1))</f>
        <v>64</v>
      </c>
      <c r="S2">
        <f>_xlfn.STDEV.P(M2:R2)</f>
        <v>14.728091073410249</v>
      </c>
      <c r="T2">
        <f>AVERAGE(M2:R2)</f>
        <v>35.5</v>
      </c>
      <c r="U2">
        <f>IFERROR(S2/T2,0)</f>
        <v>0.41487580488479575</v>
      </c>
      <c r="V2" s="1" t="str" cm="1">
        <f t="array" ref="V2">_xlfn.IFS(U2&lt;20%,"X",U2&lt;=50%,"Y",TRUE,"Z")</f>
        <v>Y</v>
      </c>
      <c r="W2" s="1" t="str">
        <f>L2&amp;V2</f>
        <v>AY</v>
      </c>
      <c r="X2">
        <v>5</v>
      </c>
      <c r="Y2">
        <v>8</v>
      </c>
      <c r="Z2" s="13">
        <f>(J2*Y2)-(I2*X2)</f>
        <v>110.07692307692308</v>
      </c>
      <c r="AA2">
        <f>(I2*X2)+Z2</f>
        <v>192</v>
      </c>
      <c r="AB2" t="str" cm="1">
        <f t="array" ref="AB2">_xlfn.IFS(E2=0,"OUT OF STOCK",E2&lt;Z2,"CRITICAL - ORDER NOW",E2&lt;AA2,"LOW - REORDER SOON",E2&gt;AA2*3,"OVERSTOCK - REDUCE ORDERS",TRUE,"HEALTHY")</f>
        <v>CRITICAL - ORDER NOW</v>
      </c>
    </row>
    <row r="3" spans="1:28" x14ac:dyDescent="0.35">
      <c r="A3" t="s">
        <v>27</v>
      </c>
      <c r="B3" t="s">
        <v>106</v>
      </c>
      <c r="C3" s="5" t="s">
        <v>85</v>
      </c>
      <c r="D3" t="s">
        <v>107</v>
      </c>
      <c r="E3" s="1">
        <v>120</v>
      </c>
      <c r="F3" t="s">
        <v>108</v>
      </c>
      <c r="G3">
        <f>SUMIF(Sales_Log!$D$2:$D$51,A3,Sales_Log!$E$2:$E$51)</f>
        <v>8</v>
      </c>
      <c r="H3" s="10">
        <f>SUMIFS(Sales_Log!$H$2:$H$51,Sales_Log!$D$2:$D$51,A3)</f>
        <v>15192</v>
      </c>
      <c r="I3">
        <f>IFERROR(AVERAGEIFS(Sales_Log!$E$2:$E$51,Sales_Log!$D$2:$D$51,A3),0)</f>
        <v>2.6666666666666665</v>
      </c>
      <c r="J3">
        <f>IFERROR(_xlfn.MAXIFS(Sales_Log!$E$2:$E$54,Sales_Log!$D$2:$D$54,A3),0)</f>
        <v>3</v>
      </c>
      <c r="K3" s="12">
        <f>K2+H3/SUM($H$2:$H$10)</f>
        <v>0.54514567141847803</v>
      </c>
      <c r="L3" s="1" t="str" cm="1">
        <f t="array" ref="L3">_xlfn.IFS(K3&lt;=70%,"A",K3&lt;=90%,"B",TRUE,"C")</f>
        <v>A</v>
      </c>
      <c r="M3">
        <f>SUMIFS(Sales_Log!$E$2:$E$54,Sales_Log!$D$2:$D$54,$A3,Sales_Log!$B$2:$B$54,"&gt;="&amp;DATE(2026,1,1),Sales_Log!$B$2:$B$54,"&lt;"&amp;DATE(2026,2,1))</f>
        <v>3</v>
      </c>
      <c r="N3">
        <f>SUMIFS(Sales_Log!$E$2:$E$54,Sales_Log!$D$2:$D$54,$A3,Sales_Log!$B$2:$B$54,"&gt;="&amp;DATE(2026,2,1),Sales_Log!$B$2:$B$54,"&lt;"&amp;DATE(2026,3,1))</f>
        <v>0</v>
      </c>
      <c r="O3">
        <f>SUMIFS(Sales_Log!$E$2:$E$54,Sales_Log!$D$2:$D$54,$A3,Sales_Log!$B$2:$B$54,"&gt;="&amp;DATE(2026,3,1),Sales_Log!$B$2:$B$54,"&lt;"&amp;DATE(2026,4,1))</f>
        <v>2</v>
      </c>
      <c r="P3">
        <f>SUMIFS(Sales_Log!$E$2:$E$54,Sales_Log!$D$2:$D$54,$A3,Sales_Log!$B$2:$B$54,"&gt;="&amp;DATE(2026,4,1),Sales_Log!$B$2:$B$54,"&lt;"&amp;DATE(2026,5,1))</f>
        <v>0</v>
      </c>
      <c r="Q3">
        <f>SUMIFS(Sales_Log!$E$2:$E$54,Sales_Log!$D$2:$D$54,$A3,Sales_Log!$B$2:$B$54,"&gt;="&amp;DATE(2026,5,1),Sales_Log!$B$2:$B$54,"&lt;"&amp;DATE(2026,6,1))</f>
        <v>3</v>
      </c>
      <c r="R3">
        <f>SUMIFS(Sales_Log!$E$2:$E$54,Sales_Log!$D$2:$D$54,$A3,Sales_Log!$B$2:$B$54,"&gt;="&amp;DATE(2026,6,1),Sales_Log!$B$2:$B$54,"&lt;"&amp;DATE(2026,7,1))</f>
        <v>0</v>
      </c>
      <c r="S3">
        <f t="shared" ref="S3:S10" si="0">_xlfn.STDEV.P(M3:R3)</f>
        <v>1.3743685418725535</v>
      </c>
      <c r="T3">
        <f t="shared" ref="T3:T10" si="1">AVERAGE(M3:R3)</f>
        <v>1.3333333333333333</v>
      </c>
      <c r="U3">
        <f t="shared" ref="U3:U10" si="2">IFERROR(S3/T3,0)</f>
        <v>1.0307764064044151</v>
      </c>
      <c r="V3" s="1" t="str" cm="1">
        <f t="array" ref="V3">_xlfn.IFS(U3&lt;20%,"X",U3&lt;=50%,"Y",TRUE,"Z")</f>
        <v>Z</v>
      </c>
      <c r="W3" s="1" t="str">
        <f t="shared" ref="W3:W10" si="3">L3&amp;V3</f>
        <v>AZ</v>
      </c>
      <c r="X3">
        <v>7</v>
      </c>
      <c r="Y3">
        <v>12</v>
      </c>
      <c r="Z3" s="13">
        <f t="shared" ref="Z3:Z10" si="4">(J3*Y3)-(I3*X3)</f>
        <v>17.333333333333336</v>
      </c>
      <c r="AA3">
        <f t="shared" ref="AA3:AA10" si="5">(I3*X3)+Z3</f>
        <v>36</v>
      </c>
      <c r="AB3" t="str" cm="1">
        <f t="array" ref="AB3">_xlfn.IFS(E3=0,"OUT OF STOCK",E3&lt;Z3,"CRITICAL - ORDER NOW",E3&lt;AA3,"LOW - REORDER SOON",E3&gt;AA3*3,"OVERSTOCK - REDUCE ORDERS",TRUE,"HEALTHY")</f>
        <v>OVERSTOCK - REDUCE ORDERS</v>
      </c>
    </row>
    <row r="4" spans="1:28" x14ac:dyDescent="0.35">
      <c r="A4" t="s">
        <v>10</v>
      </c>
      <c r="B4" t="s">
        <v>87</v>
      </c>
      <c r="C4" s="5" t="s">
        <v>88</v>
      </c>
      <c r="D4" t="s">
        <v>89</v>
      </c>
      <c r="E4" s="1">
        <v>12</v>
      </c>
      <c r="F4" t="s">
        <v>90</v>
      </c>
      <c r="G4">
        <f>SUMIF(Sales_Log!$D$2:$D$51,A4,Sales_Log!$E$2:$E$51)</f>
        <v>57</v>
      </c>
      <c r="H4" s="10">
        <f>SUMIFS(Sales_Log!$H$2:$H$51,Sales_Log!$D$2:$D$51,A4)</f>
        <v>14250</v>
      </c>
      <c r="I4">
        <f>IFERROR(AVERAGEIFS(Sales_Log!$E$2:$E$51,Sales_Log!$D$2:$D$51,A4),0)</f>
        <v>8.1428571428571423</v>
      </c>
      <c r="J4">
        <f>IFERROR(_xlfn.MAXIFS(Sales_Log!$E$2:$E$54,Sales_Log!$D$2:$D$54,A4),0)</f>
        <v>12</v>
      </c>
      <c r="K4" s="12">
        <f>K3+H4/SUM($H$2:$H$10)</f>
        <v>0.69320684925813558</v>
      </c>
      <c r="L4" s="1" t="str" cm="1">
        <f t="array" ref="L4">_xlfn.IFS(K4&lt;=70%,"A",K4&lt;=90%,"B",TRUE,"C")</f>
        <v>A</v>
      </c>
      <c r="M4">
        <f>SUMIFS(Sales_Log!$E$2:$E$54,Sales_Log!$D$2:$D$54,$A4,Sales_Log!$B$2:$B$54,"&gt;="&amp;DATE(2026,1,1),Sales_Log!$B$2:$B$54,"&lt;"&amp;DATE(2026,2,1))</f>
        <v>5</v>
      </c>
      <c r="N4">
        <f>SUMIFS(Sales_Log!$E$2:$E$54,Sales_Log!$D$2:$D$54,$A4,Sales_Log!$B$2:$B$54,"&gt;="&amp;DATE(2026,2,1),Sales_Log!$B$2:$B$54,"&lt;"&amp;DATE(2026,3,1))</f>
        <v>6</v>
      </c>
      <c r="O4">
        <f>SUMIFS(Sales_Log!$E$2:$E$54,Sales_Log!$D$2:$D$54,$A4,Sales_Log!$B$2:$B$54,"&gt;="&amp;DATE(2026,3,1),Sales_Log!$B$2:$B$54,"&lt;"&amp;DATE(2026,4,1))</f>
        <v>8</v>
      </c>
      <c r="P4">
        <f>SUMIFS(Sales_Log!$E$2:$E$54,Sales_Log!$D$2:$D$54,$A4,Sales_Log!$B$2:$B$54,"&gt;="&amp;DATE(2026,4,1),Sales_Log!$B$2:$B$54,"&lt;"&amp;DATE(2026,5,1))</f>
        <v>7</v>
      </c>
      <c r="Q4">
        <f>SUMIFS(Sales_Log!$E$2:$E$54,Sales_Log!$D$2:$D$54,$A4,Sales_Log!$B$2:$B$54,"&gt;="&amp;DATE(2026,5,1),Sales_Log!$B$2:$B$54,"&lt;"&amp;DATE(2026,6,1))</f>
        <v>10</v>
      </c>
      <c r="R4">
        <f>SUMIFS(Sales_Log!$E$2:$E$54,Sales_Log!$D$2:$D$54,$A4,Sales_Log!$B$2:$B$54,"&gt;="&amp;DATE(2026,6,1),Sales_Log!$B$2:$B$54,"&lt;"&amp;DATE(2026,7,1))</f>
        <v>21</v>
      </c>
      <c r="S4">
        <f t="shared" si="0"/>
        <v>5.3774219349672263</v>
      </c>
      <c r="T4">
        <f t="shared" si="1"/>
        <v>9.5</v>
      </c>
      <c r="U4">
        <f t="shared" si="2"/>
        <v>0.56604441420707641</v>
      </c>
      <c r="V4" s="1" t="str" cm="1">
        <f t="array" ref="V4">_xlfn.IFS(U4&lt;20%,"X",U4&lt;=50%,"Y",TRUE,"Z")</f>
        <v>Z</v>
      </c>
      <c r="W4" s="1" t="str">
        <f t="shared" si="3"/>
        <v>AZ</v>
      </c>
      <c r="X4">
        <v>3</v>
      </c>
      <c r="Y4">
        <v>5</v>
      </c>
      <c r="Z4" s="13">
        <f t="shared" si="4"/>
        <v>35.571428571428569</v>
      </c>
      <c r="AA4">
        <f t="shared" si="5"/>
        <v>60</v>
      </c>
      <c r="AB4" t="str" cm="1">
        <f t="array" ref="AB4">_xlfn.IFS(E4=0,"OUT OF STOCK",E4&lt;Z4,"CRITICAL - ORDER NOW",E4&lt;AA4,"LOW - REORDER SOON",E4&gt;AA4*3,"OVERSTOCK - REDUCE ORDERS",TRUE,"HEALTHY")</f>
        <v>CRITICAL - ORDER NOW</v>
      </c>
    </row>
    <row r="5" spans="1:28" x14ac:dyDescent="0.35">
      <c r="A5" t="s">
        <v>24</v>
      </c>
      <c r="B5" t="s">
        <v>103</v>
      </c>
      <c r="C5" s="5" t="s">
        <v>85</v>
      </c>
      <c r="D5" t="s">
        <v>104</v>
      </c>
      <c r="E5" s="1">
        <v>150</v>
      </c>
      <c r="F5" t="s">
        <v>105</v>
      </c>
      <c r="G5">
        <f>SUMIF(Sales_Log!$D$2:$D$51,A5,Sales_Log!$E$2:$E$51)</f>
        <v>5</v>
      </c>
      <c r="H5" s="10">
        <f>SUMIFS(Sales_Log!$H$2:$H$51,Sales_Log!$D$2:$D$51,A5)</f>
        <v>12495</v>
      </c>
      <c r="I5">
        <f>IFERROR(AVERAGEIFS(Sales_Log!$E$2:$E$51,Sales_Log!$D$2:$D$51,A5),0)</f>
        <v>1.6666666666666667</v>
      </c>
      <c r="J5">
        <f>IFERROR(_xlfn.MAXIFS(Sales_Log!$E$2:$E$54,Sales_Log!$D$2:$D$54,A5),0)</f>
        <v>2</v>
      </c>
      <c r="K5" s="12">
        <f>K4+H5/SUM($H$2:$H$10)</f>
        <v>0.82303312414280372</v>
      </c>
      <c r="L5" s="1" t="str" cm="1">
        <f t="array" ref="L5">_xlfn.IFS(K5&lt;=70%,"A",K5&lt;=90%,"B",TRUE,"C")</f>
        <v>B</v>
      </c>
      <c r="M5">
        <f>SUMIFS(Sales_Log!$E$2:$E$54,Sales_Log!$D$2:$D$54,$A5,Sales_Log!$B$2:$B$54,"&gt;="&amp;DATE(2026,1,1),Sales_Log!$B$2:$B$54,"&lt;"&amp;DATE(2026,2,1))</f>
        <v>2</v>
      </c>
      <c r="N5">
        <f>SUMIFS(Sales_Log!$E$2:$E$54,Sales_Log!$D$2:$D$54,$A5,Sales_Log!$B$2:$B$54,"&gt;="&amp;DATE(2026,2,1),Sales_Log!$B$2:$B$54,"&lt;"&amp;DATE(2026,3,1))</f>
        <v>0</v>
      </c>
      <c r="O5">
        <f>SUMIFS(Sales_Log!$E$2:$E$54,Sales_Log!$D$2:$D$54,$A5,Sales_Log!$B$2:$B$54,"&gt;="&amp;DATE(2026,3,1),Sales_Log!$B$2:$B$54,"&lt;"&amp;DATE(2026,4,1))</f>
        <v>1</v>
      </c>
      <c r="P5">
        <f>SUMIFS(Sales_Log!$E$2:$E$54,Sales_Log!$D$2:$D$54,$A5,Sales_Log!$B$2:$B$54,"&gt;="&amp;DATE(2026,4,1),Sales_Log!$B$2:$B$54,"&lt;"&amp;DATE(2026,5,1))</f>
        <v>0</v>
      </c>
      <c r="Q5">
        <f>SUMIFS(Sales_Log!$E$2:$E$54,Sales_Log!$D$2:$D$54,$A5,Sales_Log!$B$2:$B$54,"&gt;="&amp;DATE(2026,5,1),Sales_Log!$B$2:$B$54,"&lt;"&amp;DATE(2026,6,1))</f>
        <v>2</v>
      </c>
      <c r="R5">
        <f>SUMIFS(Sales_Log!$E$2:$E$54,Sales_Log!$D$2:$D$54,$A5,Sales_Log!$B$2:$B$54,"&gt;="&amp;DATE(2026,6,1),Sales_Log!$B$2:$B$54,"&lt;"&amp;DATE(2026,7,1))</f>
        <v>0</v>
      </c>
      <c r="S5">
        <f t="shared" si="0"/>
        <v>0.89752746785575066</v>
      </c>
      <c r="T5">
        <f t="shared" si="1"/>
        <v>0.83333333333333337</v>
      </c>
      <c r="U5">
        <f t="shared" si="2"/>
        <v>1.0770329614269007</v>
      </c>
      <c r="V5" s="1" t="str" cm="1">
        <f t="array" ref="V5">_xlfn.IFS(U5&lt;20%,"X",U5&lt;=50%,"Y",TRUE,"Z")</f>
        <v>Z</v>
      </c>
      <c r="W5" s="1" t="str">
        <f t="shared" si="3"/>
        <v>BZ</v>
      </c>
      <c r="X5">
        <v>4</v>
      </c>
      <c r="Y5">
        <v>6</v>
      </c>
      <c r="Z5" s="13">
        <f t="shared" si="4"/>
        <v>5.333333333333333</v>
      </c>
      <c r="AA5">
        <f t="shared" si="5"/>
        <v>12</v>
      </c>
      <c r="AB5" t="str" cm="1">
        <f t="array" ref="AB5">_xlfn.IFS(E5=0,"OUT OF STOCK",E5&lt;Z5,"CRITICAL - ORDER NOW",E5&lt;AA5,"LOW - REORDER SOON",E5&gt;AA5*3,"OVERSTOCK - REDUCE ORDERS",TRUE,"HEALTHY")</f>
        <v>OVERSTOCK - REDUCE ORDERS</v>
      </c>
    </row>
    <row r="6" spans="1:28" x14ac:dyDescent="0.35">
      <c r="A6" t="s">
        <v>41</v>
      </c>
      <c r="B6" t="s">
        <v>113</v>
      </c>
      <c r="C6" s="5" t="s">
        <v>85</v>
      </c>
      <c r="D6" t="s">
        <v>114</v>
      </c>
      <c r="E6" s="1">
        <v>110</v>
      </c>
      <c r="F6" t="s">
        <v>115</v>
      </c>
      <c r="G6">
        <f>SUMIF(Sales_Log!$D$2:$D$51,A6,Sales_Log!$E$2:$E$51)</f>
        <v>9</v>
      </c>
      <c r="H6" s="10">
        <f>SUMIFS(Sales_Log!$H$2:$H$51,Sales_Log!$D$2:$D$51,A6)</f>
        <v>6291</v>
      </c>
      <c r="I6">
        <f>IFERROR(AVERAGEIFS(Sales_Log!$E$2:$E$51,Sales_Log!$D$2:$D$51,A6),0)</f>
        <v>3</v>
      </c>
      <c r="J6">
        <f>IFERROR(_xlfn.MAXIFS(Sales_Log!$E$2:$E$54,Sales_Log!$D$2:$D$54,A6),0)</f>
        <v>4</v>
      </c>
      <c r="K6" s="12">
        <f>K5+H6/SUM($H$2:$H$10)</f>
        <v>0.88839823781222726</v>
      </c>
      <c r="L6" s="1" t="str" cm="1">
        <f t="array" ref="L6">_xlfn.IFS(K6&lt;=70%,"A",K6&lt;=90%,"B",TRUE,"C")</f>
        <v>B</v>
      </c>
      <c r="M6">
        <f>SUMIFS(Sales_Log!$E$2:$E$54,Sales_Log!$D$2:$D$54,$A6,Sales_Log!$B$2:$B$54,"&gt;="&amp;DATE(2026,1,1),Sales_Log!$B$2:$B$54,"&lt;"&amp;DATE(2026,2,1))</f>
        <v>0</v>
      </c>
      <c r="N6">
        <f>SUMIFS(Sales_Log!$E$2:$E$54,Sales_Log!$D$2:$D$54,$A6,Sales_Log!$B$2:$B$54,"&gt;="&amp;DATE(2026,2,1),Sales_Log!$B$2:$B$54,"&lt;"&amp;DATE(2026,3,1))</f>
        <v>4</v>
      </c>
      <c r="O6">
        <f>SUMIFS(Sales_Log!$E$2:$E$54,Sales_Log!$D$2:$D$54,$A6,Sales_Log!$B$2:$B$54,"&gt;="&amp;DATE(2026,3,1),Sales_Log!$B$2:$B$54,"&lt;"&amp;DATE(2026,4,1))</f>
        <v>0</v>
      </c>
      <c r="P6">
        <f>SUMIFS(Sales_Log!$E$2:$E$54,Sales_Log!$D$2:$D$54,$A6,Sales_Log!$B$2:$B$54,"&gt;="&amp;DATE(2026,4,1),Sales_Log!$B$2:$B$54,"&lt;"&amp;DATE(2026,5,1))</f>
        <v>3</v>
      </c>
      <c r="Q6">
        <f>SUMIFS(Sales_Log!$E$2:$E$54,Sales_Log!$D$2:$D$54,$A6,Sales_Log!$B$2:$B$54,"&gt;="&amp;DATE(2026,5,1),Sales_Log!$B$2:$B$54,"&lt;"&amp;DATE(2026,6,1))</f>
        <v>0</v>
      </c>
      <c r="R6">
        <f>SUMIFS(Sales_Log!$E$2:$E$54,Sales_Log!$D$2:$D$54,$A6,Sales_Log!$B$2:$B$54,"&gt;="&amp;DATE(2026,6,1),Sales_Log!$B$2:$B$54,"&lt;"&amp;DATE(2026,7,1))</f>
        <v>2</v>
      </c>
      <c r="S6">
        <f t="shared" si="0"/>
        <v>1.6072751268321592</v>
      </c>
      <c r="T6">
        <f t="shared" si="1"/>
        <v>1.5</v>
      </c>
      <c r="U6">
        <f t="shared" si="2"/>
        <v>1.0715167512214394</v>
      </c>
      <c r="V6" s="1" t="str" cm="1">
        <f t="array" ref="V6">_xlfn.IFS(U6&lt;20%,"X",U6&lt;=50%,"Y",TRUE,"Z")</f>
        <v>Z</v>
      </c>
      <c r="W6" s="1" t="str">
        <f t="shared" si="3"/>
        <v>BZ</v>
      </c>
      <c r="X6">
        <v>4</v>
      </c>
      <c r="Y6">
        <v>7</v>
      </c>
      <c r="Z6" s="13">
        <f t="shared" si="4"/>
        <v>16</v>
      </c>
      <c r="AA6">
        <f t="shared" si="5"/>
        <v>28</v>
      </c>
      <c r="AB6" t="str" cm="1">
        <f t="array" ref="AB6">_xlfn.IFS(E6=0,"OUT OF STOCK",E6&lt;Z6,"CRITICAL - ORDER NOW",E6&lt;AA6,"LOW - REORDER SOON",E6&gt;AA6*3,"OVERSTOCK - REDUCE ORDERS",TRUE,"HEALTHY")</f>
        <v>OVERSTOCK - REDUCE ORDERS</v>
      </c>
    </row>
    <row r="7" spans="1:28" x14ac:dyDescent="0.35">
      <c r="A7" t="s">
        <v>39</v>
      </c>
      <c r="B7" t="s">
        <v>109</v>
      </c>
      <c r="C7" s="5" t="s">
        <v>110</v>
      </c>
      <c r="D7" t="s">
        <v>111</v>
      </c>
      <c r="E7" s="1">
        <v>200</v>
      </c>
      <c r="F7" t="s">
        <v>112</v>
      </c>
      <c r="G7">
        <f>SUMIF(Sales_Log!$D$2:$D$51,A7,Sales_Log!$E$2:$E$51)</f>
        <v>4</v>
      </c>
      <c r="H7" s="10">
        <f>SUMIFS(Sales_Log!$H$2:$H$51,Sales_Log!$D$2:$D$51,A7)</f>
        <v>3196</v>
      </c>
      <c r="I7">
        <f>IFERROR(AVERAGEIFS(Sales_Log!$E$2:$E$51,Sales_Log!$D$2:$D$51,A7),0)</f>
        <v>1.3333333333333333</v>
      </c>
      <c r="J7">
        <f>IFERROR(_xlfn.MAXIFS(Sales_Log!$E$2:$E$54,Sales_Log!$D$2:$D$54,A7),0)</f>
        <v>2</v>
      </c>
      <c r="K7" s="12">
        <f>K6+H7/SUM($H$2:$H$10)</f>
        <v>0.92160550268068664</v>
      </c>
      <c r="L7" s="1" t="str" cm="1">
        <f t="array" ref="L7">_xlfn.IFS(K7&lt;=70%,"A",K7&lt;=90%,"B",TRUE,"C")</f>
        <v>C</v>
      </c>
      <c r="M7">
        <f>SUMIFS(Sales_Log!$E$2:$E$54,Sales_Log!$D$2:$D$54,$A7,Sales_Log!$B$2:$B$54,"&gt;="&amp;DATE(2026,1,1),Sales_Log!$B$2:$B$54,"&lt;"&amp;DATE(2026,2,1))</f>
        <v>0</v>
      </c>
      <c r="N7">
        <f>SUMIFS(Sales_Log!$E$2:$E$54,Sales_Log!$D$2:$D$54,$A7,Sales_Log!$B$2:$B$54,"&gt;="&amp;DATE(2026,2,1),Sales_Log!$B$2:$B$54,"&lt;"&amp;DATE(2026,3,1))</f>
        <v>2</v>
      </c>
      <c r="O7">
        <f>SUMIFS(Sales_Log!$E$2:$E$54,Sales_Log!$D$2:$D$54,$A7,Sales_Log!$B$2:$B$54,"&gt;="&amp;DATE(2026,3,1),Sales_Log!$B$2:$B$54,"&lt;"&amp;DATE(2026,4,1))</f>
        <v>0</v>
      </c>
      <c r="P7">
        <f>SUMIFS(Sales_Log!$E$2:$E$54,Sales_Log!$D$2:$D$54,$A7,Sales_Log!$B$2:$B$54,"&gt;="&amp;DATE(2026,4,1),Sales_Log!$B$2:$B$54,"&lt;"&amp;DATE(2026,5,1))</f>
        <v>1</v>
      </c>
      <c r="Q7">
        <f>SUMIFS(Sales_Log!$E$2:$E$54,Sales_Log!$D$2:$D$54,$A7,Sales_Log!$B$2:$B$54,"&gt;="&amp;DATE(2026,5,1),Sales_Log!$B$2:$B$54,"&lt;"&amp;DATE(2026,6,1))</f>
        <v>0</v>
      </c>
      <c r="R7">
        <f>SUMIFS(Sales_Log!$E$2:$E$54,Sales_Log!$D$2:$D$54,$A7,Sales_Log!$B$2:$B$54,"&gt;="&amp;DATE(2026,6,1),Sales_Log!$B$2:$B$54,"&lt;"&amp;DATE(2026,7,1))</f>
        <v>1</v>
      </c>
      <c r="S7">
        <f t="shared" si="0"/>
        <v>0.7453559924999299</v>
      </c>
      <c r="T7">
        <f t="shared" si="1"/>
        <v>0.66666666666666663</v>
      </c>
      <c r="U7">
        <f t="shared" si="2"/>
        <v>1.1180339887498949</v>
      </c>
      <c r="V7" s="1" t="str" cm="1">
        <f t="array" ref="V7">_xlfn.IFS(U7&lt;20%,"X",U7&lt;=50%,"Y",TRUE,"Z")</f>
        <v>Z</v>
      </c>
      <c r="W7" s="1" t="str">
        <f t="shared" si="3"/>
        <v>CZ</v>
      </c>
      <c r="X7">
        <v>3</v>
      </c>
      <c r="Y7">
        <v>5</v>
      </c>
      <c r="Z7" s="13">
        <f t="shared" si="4"/>
        <v>6</v>
      </c>
      <c r="AA7">
        <f t="shared" si="5"/>
        <v>10</v>
      </c>
      <c r="AB7" t="str" cm="1">
        <f t="array" ref="AB7">_xlfn.IFS(E7=0,"OUT OF STOCK",E7&lt;Z7,"CRITICAL - ORDER NOW",E7&lt;AA7,"LOW - REORDER SOON",E7&gt;AA7*3,"OVERSTOCK - REDUCE ORDERS",TRUE,"HEALTHY")</f>
        <v>OVERSTOCK - REDUCE ORDERS</v>
      </c>
    </row>
    <row r="8" spans="1:28" x14ac:dyDescent="0.35">
      <c r="A8" t="s">
        <v>19</v>
      </c>
      <c r="B8" t="s">
        <v>99</v>
      </c>
      <c r="C8" s="5" t="s">
        <v>100</v>
      </c>
      <c r="D8" t="s">
        <v>101</v>
      </c>
      <c r="E8" s="1">
        <v>70</v>
      </c>
      <c r="F8" t="s">
        <v>102</v>
      </c>
      <c r="G8">
        <f>SUMIF(Sales_Log!$D$2:$D$51,A8,Sales_Log!$E$2:$E$51)</f>
        <v>71</v>
      </c>
      <c r="H8" s="10">
        <f>SUMIFS(Sales_Log!$H$2:$H$51,Sales_Log!$D$2:$D$51,A8)</f>
        <v>3195</v>
      </c>
      <c r="I8">
        <f>IFERROR(AVERAGEIFS(Sales_Log!$E$2:$E$51,Sales_Log!$D$2:$D$51,A8),0)</f>
        <v>11.833333333333334</v>
      </c>
      <c r="J8">
        <f>IFERROR(_xlfn.MAXIFS(Sales_Log!$E$2:$E$54,Sales_Log!$D$2:$D$54,A8),0)</f>
        <v>16</v>
      </c>
      <c r="K8" s="12">
        <f>K7+H8/SUM($H$2:$H$10)</f>
        <v>0.954802377291052</v>
      </c>
      <c r="L8" s="1" t="str" cm="1">
        <f t="array" ref="L8">_xlfn.IFS(K8&lt;=70%,"A",K8&lt;=90%,"B",TRUE,"C")</f>
        <v>C</v>
      </c>
      <c r="M8">
        <f>SUMIFS(Sales_Log!$E$2:$E$54,Sales_Log!$D$2:$D$54,$A8,Sales_Log!$B$2:$B$54,"&gt;="&amp;DATE(2026,1,1),Sales_Log!$B$2:$B$54,"&lt;"&amp;DATE(2026,2,1))</f>
        <v>7</v>
      </c>
      <c r="N8">
        <f>SUMIFS(Sales_Log!$E$2:$E$54,Sales_Log!$D$2:$D$54,$A8,Sales_Log!$B$2:$B$54,"&gt;="&amp;DATE(2026,2,1),Sales_Log!$B$2:$B$54,"&lt;"&amp;DATE(2026,3,1))</f>
        <v>9</v>
      </c>
      <c r="O8">
        <f>SUMIFS(Sales_Log!$E$2:$E$54,Sales_Log!$D$2:$D$54,$A8,Sales_Log!$B$2:$B$54,"&gt;="&amp;DATE(2026,3,1),Sales_Log!$B$2:$B$54,"&lt;"&amp;DATE(2026,4,1))</f>
        <v>11</v>
      </c>
      <c r="P8">
        <f>SUMIFS(Sales_Log!$E$2:$E$54,Sales_Log!$D$2:$D$54,$A8,Sales_Log!$B$2:$B$54,"&gt;="&amp;DATE(2026,4,1),Sales_Log!$B$2:$B$54,"&lt;"&amp;DATE(2026,5,1))</f>
        <v>13</v>
      </c>
      <c r="Q8">
        <f>SUMIFS(Sales_Log!$E$2:$E$54,Sales_Log!$D$2:$D$54,$A8,Sales_Log!$B$2:$B$54,"&gt;="&amp;DATE(2026,5,1),Sales_Log!$B$2:$B$54,"&lt;"&amp;DATE(2026,6,1))</f>
        <v>15</v>
      </c>
      <c r="R8">
        <f>SUMIFS(Sales_Log!$E$2:$E$54,Sales_Log!$D$2:$D$54,$A8,Sales_Log!$B$2:$B$54,"&gt;="&amp;DATE(2026,6,1),Sales_Log!$B$2:$B$54,"&lt;"&amp;DATE(2026,7,1))</f>
        <v>16</v>
      </c>
      <c r="S8">
        <f t="shared" si="0"/>
        <v>3.1841621957571333</v>
      </c>
      <c r="T8">
        <f t="shared" si="1"/>
        <v>11.833333333333334</v>
      </c>
      <c r="U8">
        <f t="shared" si="2"/>
        <v>0.26908412921891267</v>
      </c>
      <c r="V8" s="1" t="str" cm="1">
        <f t="array" ref="V8">_xlfn.IFS(U8&lt;20%,"X",U8&lt;=50%,"Y",TRUE,"Z")</f>
        <v>Y</v>
      </c>
      <c r="W8" s="1" t="str">
        <f t="shared" si="3"/>
        <v>CY</v>
      </c>
      <c r="X8">
        <v>10</v>
      </c>
      <c r="Y8">
        <v>15</v>
      </c>
      <c r="Z8" s="13">
        <f t="shared" si="4"/>
        <v>121.66666666666666</v>
      </c>
      <c r="AA8">
        <f t="shared" si="5"/>
        <v>240</v>
      </c>
      <c r="AB8" t="str" cm="1">
        <f t="array" ref="AB8">_xlfn.IFS(E8=0,"OUT OF STOCK",E8&lt;Z8,"CRITICAL - ORDER NOW",E8&lt;AA8,"LOW - REORDER SOON",E8&gt;AA8*3,"OVERSTOCK - REDUCE ORDERS",TRUE,"HEALTHY")</f>
        <v>CRITICAL - ORDER NOW</v>
      </c>
    </row>
    <row r="9" spans="1:28" x14ac:dyDescent="0.35">
      <c r="A9" t="s">
        <v>13</v>
      </c>
      <c r="B9" t="s">
        <v>91</v>
      </c>
      <c r="C9" s="5" t="s">
        <v>92</v>
      </c>
      <c r="D9" t="s">
        <v>93</v>
      </c>
      <c r="E9" s="1">
        <v>85</v>
      </c>
      <c r="F9" t="s">
        <v>94</v>
      </c>
      <c r="G9">
        <f>SUMIF(Sales_Log!$D$2:$D$51,A9,Sales_Log!$E$2:$E$51)</f>
        <v>129</v>
      </c>
      <c r="H9" s="10">
        <f>SUMIFS(Sales_Log!$H$2:$H$51,Sales_Log!$D$2:$D$51,A9)</f>
        <v>2580</v>
      </c>
      <c r="I9">
        <f>IFERROR(AVERAGEIFS(Sales_Log!$E$2:$E$51,Sales_Log!$D$2:$D$51,A9),0)</f>
        <v>21.5</v>
      </c>
      <c r="J9">
        <f>IFERROR(_xlfn.MAXIFS(Sales_Log!$E$2:$E$54,Sales_Log!$D$2:$D$54,A9),0)</f>
        <v>28</v>
      </c>
      <c r="K9" s="12">
        <f>K8+H9/SUM($H$2:$H$10)</f>
        <v>0.98160924317360054</v>
      </c>
      <c r="L9" s="1" t="str" cm="1">
        <f t="array" ref="L9">_xlfn.IFS(K9&lt;=70%,"A",K9&lt;=90%,"B",TRUE,"C")</f>
        <v>C</v>
      </c>
      <c r="M9">
        <f>SUMIFS(Sales_Log!$E$2:$E$54,Sales_Log!$D$2:$D$54,$A9,Sales_Log!$B$2:$B$54,"&gt;="&amp;DATE(2026,1,1),Sales_Log!$B$2:$B$54,"&lt;"&amp;DATE(2026,2,1))</f>
        <v>12</v>
      </c>
      <c r="N9">
        <f>SUMIFS(Sales_Log!$E$2:$E$54,Sales_Log!$D$2:$D$54,$A9,Sales_Log!$B$2:$B$54,"&gt;="&amp;DATE(2026,2,1),Sales_Log!$B$2:$B$54,"&lt;"&amp;DATE(2026,3,1))</f>
        <v>18</v>
      </c>
      <c r="O9">
        <f>SUMIFS(Sales_Log!$E$2:$E$54,Sales_Log!$D$2:$D$54,$A9,Sales_Log!$B$2:$B$54,"&gt;="&amp;DATE(2026,3,1),Sales_Log!$B$2:$B$54,"&lt;"&amp;DATE(2026,4,1))</f>
        <v>21</v>
      </c>
      <c r="P9">
        <f>SUMIFS(Sales_Log!$E$2:$E$54,Sales_Log!$D$2:$D$54,$A9,Sales_Log!$B$2:$B$54,"&gt;="&amp;DATE(2026,4,1),Sales_Log!$B$2:$B$54,"&lt;"&amp;DATE(2026,5,1))</f>
        <v>24</v>
      </c>
      <c r="Q9">
        <f>SUMIFS(Sales_Log!$E$2:$E$54,Sales_Log!$D$2:$D$54,$A9,Sales_Log!$B$2:$B$54,"&gt;="&amp;DATE(2026,5,1),Sales_Log!$B$2:$B$54,"&lt;"&amp;DATE(2026,6,1))</f>
        <v>26</v>
      </c>
      <c r="R9">
        <f>SUMIFS(Sales_Log!$E$2:$E$54,Sales_Log!$D$2:$D$54,$A9,Sales_Log!$B$2:$B$54,"&gt;="&amp;DATE(2026,6,1),Sales_Log!$B$2:$B$54,"&lt;"&amp;DATE(2026,7,1))</f>
        <v>28</v>
      </c>
      <c r="S9">
        <f t="shared" si="0"/>
        <v>5.346338310781813</v>
      </c>
      <c r="T9">
        <f t="shared" si="1"/>
        <v>21.5</v>
      </c>
      <c r="U9">
        <f t="shared" si="2"/>
        <v>0.24866689817589827</v>
      </c>
      <c r="V9" s="1" t="str" cm="1">
        <f t="array" ref="V9">_xlfn.IFS(U9&lt;20%,"X",U9&lt;=50%,"Y",TRUE,"Z")</f>
        <v>Y</v>
      </c>
      <c r="W9" s="1" t="str">
        <f t="shared" si="3"/>
        <v>CY</v>
      </c>
      <c r="X9">
        <v>8</v>
      </c>
      <c r="Y9">
        <v>14</v>
      </c>
      <c r="Z9" s="13">
        <f t="shared" si="4"/>
        <v>220</v>
      </c>
      <c r="AA9">
        <f t="shared" si="5"/>
        <v>392</v>
      </c>
      <c r="AB9" t="str" cm="1">
        <f t="array" ref="AB9">_xlfn.IFS(E9=0,"OUT OF STOCK",E9&lt;Z9,"CRITICAL - ORDER NOW",E9&lt;AA9,"LOW - REORDER SOON",E9&gt;AA9*3,"OVERSTOCK - REDUCE ORDERS",TRUE,"HEALTHY")</f>
        <v>CRITICAL - ORDER NOW</v>
      </c>
    </row>
    <row r="10" spans="1:28" x14ac:dyDescent="0.35">
      <c r="A10" t="s">
        <v>16</v>
      </c>
      <c r="B10" t="s">
        <v>95</v>
      </c>
      <c r="C10" s="5" t="s">
        <v>96</v>
      </c>
      <c r="D10" t="s">
        <v>97</v>
      </c>
      <c r="E10" s="1">
        <v>95</v>
      </c>
      <c r="F10" t="s">
        <v>98</v>
      </c>
      <c r="G10">
        <f>SUMIF(Sales_Log!$D$2:$D$51,A10,Sales_Log!$E$2:$E$51)</f>
        <v>118</v>
      </c>
      <c r="H10" s="10">
        <f>SUMIFS(Sales_Log!$H$2:$H$51,Sales_Log!$D$2:$D$51,A10)</f>
        <v>1770</v>
      </c>
      <c r="I10">
        <f>IFERROR(AVERAGEIFS(Sales_Log!$E$2:$E$51,Sales_Log!$D$2:$D$51,A10),0)</f>
        <v>19.666666666666668</v>
      </c>
      <c r="J10">
        <f>IFERROR(_xlfn.MAXIFS(Sales_Log!$E$2:$E$54,Sales_Log!$D$2:$D$54,A10),0)</f>
        <v>25</v>
      </c>
      <c r="K10" s="12">
        <f>K9+H10/SUM($H$2:$H$10)</f>
        <v>1</v>
      </c>
      <c r="L10" s="1" t="str" cm="1">
        <f t="array" ref="L10">_xlfn.IFS(K10&lt;=70%,"A",K10&lt;=90%,"B",TRUE,"C")</f>
        <v>C</v>
      </c>
      <c r="M10">
        <f>SUMIFS(Sales_Log!$E$2:$E$54,Sales_Log!$D$2:$D$54,$A10,Sales_Log!$B$2:$B$54,"&gt;="&amp;DATE(2026,1,1),Sales_Log!$B$2:$B$54,"&lt;"&amp;DATE(2026,2,1))</f>
        <v>15</v>
      </c>
      <c r="N10">
        <f>SUMIFS(Sales_Log!$E$2:$E$54,Sales_Log!$D$2:$D$54,$A10,Sales_Log!$B$2:$B$54,"&gt;="&amp;DATE(2026,2,1),Sales_Log!$B$2:$B$54,"&lt;"&amp;DATE(2026,3,1))</f>
        <v>20</v>
      </c>
      <c r="O10">
        <f>SUMIFS(Sales_Log!$E$2:$E$54,Sales_Log!$D$2:$D$54,$A10,Sales_Log!$B$2:$B$54,"&gt;="&amp;DATE(2026,3,1),Sales_Log!$B$2:$B$54,"&lt;"&amp;DATE(2026,4,1))</f>
        <v>17</v>
      </c>
      <c r="P10">
        <f>SUMIFS(Sales_Log!$E$2:$E$54,Sales_Log!$D$2:$D$54,$A10,Sales_Log!$B$2:$B$54,"&gt;="&amp;DATE(2026,4,1),Sales_Log!$B$2:$B$54,"&lt;"&amp;DATE(2026,5,1))</f>
        <v>22</v>
      </c>
      <c r="Q10">
        <f>SUMIFS(Sales_Log!$E$2:$E$54,Sales_Log!$D$2:$D$54,$A10,Sales_Log!$B$2:$B$54,"&gt;="&amp;DATE(2026,5,1),Sales_Log!$B$2:$B$54,"&lt;"&amp;DATE(2026,6,1))</f>
        <v>19</v>
      </c>
      <c r="R10">
        <f>SUMIFS(Sales_Log!$E$2:$E$54,Sales_Log!$D$2:$D$54,$A10,Sales_Log!$B$2:$B$54,"&gt;="&amp;DATE(2026,6,1),Sales_Log!$B$2:$B$54,"&lt;"&amp;DATE(2026,7,1))</f>
        <v>25</v>
      </c>
      <c r="S10">
        <f t="shared" si="0"/>
        <v>3.2489314482696545</v>
      </c>
      <c r="T10">
        <f t="shared" si="1"/>
        <v>19.666666666666668</v>
      </c>
      <c r="U10">
        <f t="shared" si="2"/>
        <v>0.16519990414930447</v>
      </c>
      <c r="V10" s="1" t="str" cm="1">
        <f t="array" ref="V10">_xlfn.IFS(U10&lt;20%,"X",U10&lt;=50%,"Y",TRUE,"Z")</f>
        <v>X</v>
      </c>
      <c r="W10" s="1" t="str">
        <f t="shared" si="3"/>
        <v>CX</v>
      </c>
      <c r="X10">
        <v>12</v>
      </c>
      <c r="Y10">
        <v>20</v>
      </c>
      <c r="Z10" s="13">
        <f t="shared" si="4"/>
        <v>264</v>
      </c>
      <c r="AA10">
        <f t="shared" si="5"/>
        <v>500</v>
      </c>
      <c r="AB10" t="str" cm="1">
        <f t="array" ref="AB10">_xlfn.IFS(E10=0,"OUT OF STOCK",E10&lt;Z10,"CRITICAL - ORDER NOW",E10&lt;AA10,"LOW - REORDER SOON",E10&gt;AA10*3,"OVERSTOCK - REDUCE ORDERS",TRUE,"HEALTHY")</f>
        <v>CRITICAL - ORDER NOW</v>
      </c>
    </row>
    <row r="11" spans="1:28" x14ac:dyDescent="0.35">
      <c r="W11" t="str">
        <f>L11&amp;U11</f>
        <v/>
      </c>
    </row>
  </sheetData>
  <autoFilter ref="A1:AB11" xr:uid="{FCE09534-F5D7-4B97-AF0B-3A079AAF3C8E}"/>
  <phoneticPr fontId="4" type="noConversion"/>
  <conditionalFormatting sqref="AB2:AB10">
    <cfRule type="expression" dxfId="7" priority="1">
      <formula>$AB2="OVERSTOCK - REDUCE ORDERS"</formula>
    </cfRule>
    <cfRule type="expression" dxfId="6" priority="3">
      <formula>$AB2="CRITICAL - ORDER NOW"</formula>
    </cfRule>
    <cfRule type="expression" dxfId="5" priority="4">
      <formula>$AB2="CRITICAL - ORDER NOW"</formula>
    </cfRule>
    <cfRule type="expression" dxfId="4" priority="5">
      <formula>"AB2=OVERSTOCK ORDER NOW"</formula>
    </cfRule>
    <cfRule type="expression" dxfId="3" priority="8">
      <formula>AB2="OVERSTOCK"</formula>
    </cfRule>
    <cfRule type="cellIs" dxfId="2" priority="9" operator="equal">
      <formula>"Overstock-reduce orders"</formula>
    </cfRule>
    <cfRule type="cellIs" dxfId="1" priority="10" operator="equal">
      <formula>"Out of Stock"</formula>
    </cfRule>
    <cfRule type="cellIs" dxfId="0" priority="11" operator="equal">
      <formula>"out of stock"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F8F9-573A-476C-A452-778AE448CD25}">
  <dimension ref="A1:D51"/>
  <sheetViews>
    <sheetView workbookViewId="0">
      <selection activeCell="F6" sqref="F6"/>
    </sheetView>
  </sheetViews>
  <sheetFormatPr defaultRowHeight="14.5" x14ac:dyDescent="0.35"/>
  <cols>
    <col min="1" max="1" width="22.453125" customWidth="1"/>
    <col min="2" max="2" width="20" customWidth="1"/>
    <col min="3" max="3" width="17.7265625" customWidth="1"/>
    <col min="4" max="4" width="21.6328125" customWidth="1"/>
  </cols>
  <sheetData>
    <row r="1" spans="1:4" x14ac:dyDescent="0.35">
      <c r="A1" s="6" t="s">
        <v>1</v>
      </c>
      <c r="B1" s="6" t="s">
        <v>116</v>
      </c>
      <c r="C1" s="6" t="s">
        <v>117</v>
      </c>
      <c r="D1" s="6" t="s">
        <v>118</v>
      </c>
    </row>
    <row r="2" spans="1:4" x14ac:dyDescent="0.35">
      <c r="A2" s="2">
        <v>46037</v>
      </c>
      <c r="B2" s="1" t="s">
        <v>119</v>
      </c>
      <c r="C2" t="s">
        <v>120</v>
      </c>
      <c r="D2" t="s">
        <v>121</v>
      </c>
    </row>
    <row r="3" spans="1:4" x14ac:dyDescent="0.35">
      <c r="A3" s="2">
        <v>46038</v>
      </c>
      <c r="B3" s="1" t="s">
        <v>119</v>
      </c>
      <c r="C3" t="s">
        <v>120</v>
      </c>
      <c r="D3" t="s">
        <v>121</v>
      </c>
    </row>
    <row r="4" spans="1:4" x14ac:dyDescent="0.35">
      <c r="A4" s="2">
        <v>46040</v>
      </c>
      <c r="B4" s="1" t="s">
        <v>119</v>
      </c>
      <c r="C4" t="s">
        <v>120</v>
      </c>
      <c r="D4" t="s">
        <v>122</v>
      </c>
    </row>
    <row r="5" spans="1:4" x14ac:dyDescent="0.35">
      <c r="A5" s="2">
        <v>46042</v>
      </c>
      <c r="B5" s="1" t="s">
        <v>119</v>
      </c>
      <c r="C5" t="s">
        <v>120</v>
      </c>
      <c r="D5" t="s">
        <v>121</v>
      </c>
    </row>
    <row r="6" spans="1:4" x14ac:dyDescent="0.35">
      <c r="A6" s="2">
        <v>46044</v>
      </c>
      <c r="B6" s="1" t="s">
        <v>119</v>
      </c>
      <c r="C6" t="s">
        <v>120</v>
      </c>
      <c r="D6" t="s">
        <v>121</v>
      </c>
    </row>
    <row r="7" spans="1:4" x14ac:dyDescent="0.35">
      <c r="A7" s="2">
        <v>46047</v>
      </c>
      <c r="B7" s="1" t="s">
        <v>119</v>
      </c>
      <c r="C7" t="s">
        <v>120</v>
      </c>
      <c r="D7" t="s">
        <v>122</v>
      </c>
    </row>
    <row r="8" spans="1:4" x14ac:dyDescent="0.35">
      <c r="A8" s="2">
        <v>46049</v>
      </c>
      <c r="B8" s="1" t="s">
        <v>119</v>
      </c>
      <c r="C8" t="s">
        <v>120</v>
      </c>
      <c r="D8" t="s">
        <v>121</v>
      </c>
    </row>
    <row r="9" spans="1:4" x14ac:dyDescent="0.35">
      <c r="A9" s="2">
        <v>46052</v>
      </c>
      <c r="B9" s="1" t="s">
        <v>119</v>
      </c>
      <c r="C9" t="s">
        <v>120</v>
      </c>
      <c r="D9" t="s">
        <v>121</v>
      </c>
    </row>
    <row r="10" spans="1:4" x14ac:dyDescent="0.35">
      <c r="A10" s="2">
        <v>46056</v>
      </c>
      <c r="B10" s="1" t="s">
        <v>123</v>
      </c>
      <c r="C10" t="s">
        <v>120</v>
      </c>
      <c r="D10" t="s">
        <v>121</v>
      </c>
    </row>
    <row r="11" spans="1:4" x14ac:dyDescent="0.35">
      <c r="A11" s="2">
        <v>46058</v>
      </c>
      <c r="B11" s="1" t="s">
        <v>123</v>
      </c>
      <c r="C11" t="s">
        <v>120</v>
      </c>
      <c r="D11" t="s">
        <v>121</v>
      </c>
    </row>
    <row r="12" spans="1:4" x14ac:dyDescent="0.35">
      <c r="A12" s="2">
        <v>46061</v>
      </c>
      <c r="B12" s="1" t="s">
        <v>123</v>
      </c>
      <c r="C12" t="s">
        <v>120</v>
      </c>
      <c r="D12" t="s">
        <v>122</v>
      </c>
    </row>
    <row r="13" spans="1:4" x14ac:dyDescent="0.35">
      <c r="A13" s="2">
        <v>46063</v>
      </c>
      <c r="B13" s="1" t="s">
        <v>123</v>
      </c>
      <c r="C13" t="s">
        <v>120</v>
      </c>
      <c r="D13" t="s">
        <v>121</v>
      </c>
    </row>
    <row r="14" spans="1:4" x14ac:dyDescent="0.35">
      <c r="A14" s="2">
        <v>46066</v>
      </c>
      <c r="B14" s="1" t="s">
        <v>123</v>
      </c>
      <c r="C14" t="s">
        <v>120</v>
      </c>
      <c r="D14" t="s">
        <v>121</v>
      </c>
    </row>
    <row r="15" spans="1:4" x14ac:dyDescent="0.35">
      <c r="A15" s="2">
        <v>46069</v>
      </c>
      <c r="B15" s="1" t="s">
        <v>123</v>
      </c>
      <c r="C15" t="s">
        <v>120</v>
      </c>
      <c r="D15" t="s">
        <v>121</v>
      </c>
    </row>
    <row r="16" spans="1:4" x14ac:dyDescent="0.35">
      <c r="A16" s="2">
        <v>46073</v>
      </c>
      <c r="B16" s="1" t="s">
        <v>123</v>
      </c>
      <c r="C16" t="s">
        <v>120</v>
      </c>
      <c r="D16" t="s">
        <v>121</v>
      </c>
    </row>
    <row r="17" spans="1:4" x14ac:dyDescent="0.35">
      <c r="A17" s="2">
        <v>46077</v>
      </c>
      <c r="B17" s="1" t="s">
        <v>123</v>
      </c>
      <c r="C17" t="s">
        <v>120</v>
      </c>
      <c r="D17" t="s">
        <v>121</v>
      </c>
    </row>
    <row r="18" spans="1:4" x14ac:dyDescent="0.35">
      <c r="A18" s="2">
        <v>46083</v>
      </c>
      <c r="B18" s="1" t="s">
        <v>124</v>
      </c>
      <c r="C18" t="s">
        <v>120</v>
      </c>
      <c r="D18" t="s">
        <v>121</v>
      </c>
    </row>
    <row r="19" spans="1:4" x14ac:dyDescent="0.35">
      <c r="A19" s="2">
        <v>46086</v>
      </c>
      <c r="B19" s="1" t="s">
        <v>124</v>
      </c>
      <c r="C19" t="s">
        <v>120</v>
      </c>
      <c r="D19" t="s">
        <v>121</v>
      </c>
    </row>
    <row r="20" spans="1:4" x14ac:dyDescent="0.35">
      <c r="A20" s="2">
        <v>46090</v>
      </c>
      <c r="B20" s="1" t="s">
        <v>124</v>
      </c>
      <c r="C20" t="s">
        <v>120</v>
      </c>
      <c r="D20" t="s">
        <v>121</v>
      </c>
    </row>
    <row r="21" spans="1:4" x14ac:dyDescent="0.35">
      <c r="A21" s="2">
        <v>46093</v>
      </c>
      <c r="B21" s="1" t="s">
        <v>124</v>
      </c>
      <c r="C21" t="s">
        <v>120</v>
      </c>
      <c r="D21" t="s">
        <v>121</v>
      </c>
    </row>
    <row r="22" spans="1:4" x14ac:dyDescent="0.35">
      <c r="A22" s="2">
        <v>46096</v>
      </c>
      <c r="B22" s="1" t="s">
        <v>124</v>
      </c>
      <c r="C22" t="s">
        <v>120</v>
      </c>
      <c r="D22" t="s">
        <v>122</v>
      </c>
    </row>
    <row r="23" spans="1:4" x14ac:dyDescent="0.35">
      <c r="A23" s="2">
        <v>46099</v>
      </c>
      <c r="B23" s="1" t="s">
        <v>124</v>
      </c>
      <c r="C23" t="s">
        <v>120</v>
      </c>
      <c r="D23" t="s">
        <v>121</v>
      </c>
    </row>
    <row r="24" spans="1:4" x14ac:dyDescent="0.35">
      <c r="A24" s="2">
        <v>46103</v>
      </c>
      <c r="B24" s="1" t="s">
        <v>124</v>
      </c>
      <c r="C24" t="s">
        <v>120</v>
      </c>
      <c r="D24" t="s">
        <v>122</v>
      </c>
    </row>
    <row r="25" spans="1:4" x14ac:dyDescent="0.35">
      <c r="A25" s="2">
        <v>46108</v>
      </c>
      <c r="B25" s="1" t="s">
        <v>124</v>
      </c>
      <c r="C25" t="s">
        <v>120</v>
      </c>
      <c r="D25" t="s">
        <v>121</v>
      </c>
    </row>
    <row r="26" spans="1:4" x14ac:dyDescent="0.35">
      <c r="A26" s="2">
        <v>46114</v>
      </c>
      <c r="B26" s="1" t="s">
        <v>125</v>
      </c>
      <c r="C26" t="s">
        <v>126</v>
      </c>
      <c r="D26" t="s">
        <v>121</v>
      </c>
    </row>
    <row r="27" spans="1:4" x14ac:dyDescent="0.35">
      <c r="A27" s="2">
        <v>46117</v>
      </c>
      <c r="B27" s="1" t="s">
        <v>125</v>
      </c>
      <c r="C27" t="s">
        <v>126</v>
      </c>
      <c r="D27" t="s">
        <v>122</v>
      </c>
    </row>
    <row r="28" spans="1:4" x14ac:dyDescent="0.35">
      <c r="A28" s="2">
        <v>46121</v>
      </c>
      <c r="B28" s="1" t="s">
        <v>125</v>
      </c>
      <c r="C28" t="s">
        <v>126</v>
      </c>
      <c r="D28" t="s">
        <v>121</v>
      </c>
    </row>
    <row r="29" spans="1:4" x14ac:dyDescent="0.35">
      <c r="A29" s="2">
        <v>46125</v>
      </c>
      <c r="B29" s="1" t="s">
        <v>125</v>
      </c>
      <c r="C29" t="s">
        <v>126</v>
      </c>
      <c r="D29" t="s">
        <v>121</v>
      </c>
    </row>
    <row r="30" spans="1:4" x14ac:dyDescent="0.35">
      <c r="A30" s="2">
        <v>46128</v>
      </c>
      <c r="B30" s="1" t="s">
        <v>125</v>
      </c>
      <c r="C30" t="s">
        <v>126</v>
      </c>
      <c r="D30" t="s">
        <v>121</v>
      </c>
    </row>
    <row r="31" spans="1:4" x14ac:dyDescent="0.35">
      <c r="A31" s="2">
        <v>46132</v>
      </c>
      <c r="B31" s="1" t="s">
        <v>125</v>
      </c>
      <c r="C31" t="s">
        <v>126</v>
      </c>
      <c r="D31" t="s">
        <v>121</v>
      </c>
    </row>
    <row r="32" spans="1:4" x14ac:dyDescent="0.35">
      <c r="A32" s="2">
        <v>46135</v>
      </c>
      <c r="B32" s="1" t="s">
        <v>125</v>
      </c>
      <c r="C32" t="s">
        <v>126</v>
      </c>
      <c r="D32" t="s">
        <v>121</v>
      </c>
    </row>
    <row r="33" spans="1:4" x14ac:dyDescent="0.35">
      <c r="A33" s="2">
        <v>46140</v>
      </c>
      <c r="B33" s="1" t="s">
        <v>125</v>
      </c>
      <c r="C33" t="s">
        <v>126</v>
      </c>
      <c r="D33" t="s">
        <v>121</v>
      </c>
    </row>
    <row r="34" spans="1:4" x14ac:dyDescent="0.35">
      <c r="A34" s="2">
        <v>46145</v>
      </c>
      <c r="B34" s="1" t="s">
        <v>127</v>
      </c>
      <c r="C34" t="s">
        <v>126</v>
      </c>
      <c r="D34" t="s">
        <v>122</v>
      </c>
    </row>
    <row r="35" spans="1:4" x14ac:dyDescent="0.35">
      <c r="A35" s="2">
        <v>46149</v>
      </c>
      <c r="B35" s="1" t="s">
        <v>127</v>
      </c>
      <c r="C35" t="s">
        <v>126</v>
      </c>
      <c r="D35" t="s">
        <v>121</v>
      </c>
    </row>
    <row r="36" spans="1:4" x14ac:dyDescent="0.35">
      <c r="A36" s="2">
        <v>46153</v>
      </c>
      <c r="B36" s="1" t="s">
        <v>127</v>
      </c>
      <c r="C36" t="s">
        <v>126</v>
      </c>
      <c r="D36" t="s">
        <v>121</v>
      </c>
    </row>
    <row r="37" spans="1:4" x14ac:dyDescent="0.35">
      <c r="A37" s="2">
        <v>46157</v>
      </c>
      <c r="B37" s="1" t="s">
        <v>127</v>
      </c>
      <c r="C37" t="s">
        <v>126</v>
      </c>
      <c r="D37" t="s">
        <v>121</v>
      </c>
    </row>
    <row r="38" spans="1:4" x14ac:dyDescent="0.35">
      <c r="A38" s="2">
        <v>46160</v>
      </c>
      <c r="B38" s="1" t="s">
        <v>127</v>
      </c>
      <c r="C38" t="s">
        <v>126</v>
      </c>
      <c r="D38" t="s">
        <v>121</v>
      </c>
    </row>
    <row r="39" spans="1:4" x14ac:dyDescent="0.35">
      <c r="A39" s="2">
        <v>46163</v>
      </c>
      <c r="B39" s="1" t="s">
        <v>127</v>
      </c>
      <c r="C39" t="s">
        <v>126</v>
      </c>
      <c r="D39" t="s">
        <v>121</v>
      </c>
    </row>
    <row r="40" spans="1:4" x14ac:dyDescent="0.35">
      <c r="A40" s="2">
        <v>46167</v>
      </c>
      <c r="B40" s="1" t="s">
        <v>127</v>
      </c>
      <c r="C40" t="s">
        <v>126</v>
      </c>
      <c r="D40" t="s">
        <v>121</v>
      </c>
    </row>
    <row r="41" spans="1:4" x14ac:dyDescent="0.35">
      <c r="A41" s="2">
        <v>46171</v>
      </c>
      <c r="B41" s="1" t="s">
        <v>127</v>
      </c>
      <c r="C41" t="s">
        <v>126</v>
      </c>
      <c r="D41" t="s">
        <v>121</v>
      </c>
    </row>
    <row r="42" spans="1:4" x14ac:dyDescent="0.35">
      <c r="A42" s="2">
        <v>46175</v>
      </c>
      <c r="B42" s="1" t="s">
        <v>128</v>
      </c>
      <c r="C42" t="s">
        <v>126</v>
      </c>
      <c r="D42" t="s">
        <v>121</v>
      </c>
    </row>
    <row r="43" spans="1:4" x14ac:dyDescent="0.35">
      <c r="A43" s="2">
        <v>46179</v>
      </c>
      <c r="B43" s="1" t="s">
        <v>128</v>
      </c>
      <c r="C43" t="s">
        <v>126</v>
      </c>
      <c r="D43" t="s">
        <v>122</v>
      </c>
    </row>
    <row r="44" spans="1:4" x14ac:dyDescent="0.35">
      <c r="A44" s="2">
        <v>46183</v>
      </c>
      <c r="B44" s="1" t="s">
        <v>128</v>
      </c>
      <c r="C44" t="s">
        <v>126</v>
      </c>
      <c r="D44" t="s">
        <v>121</v>
      </c>
    </row>
    <row r="45" spans="1:4" x14ac:dyDescent="0.35">
      <c r="A45" s="2">
        <v>46187</v>
      </c>
      <c r="B45" s="1" t="s">
        <v>128</v>
      </c>
      <c r="C45" t="s">
        <v>126</v>
      </c>
      <c r="D45" t="s">
        <v>122</v>
      </c>
    </row>
    <row r="46" spans="1:4" x14ac:dyDescent="0.35">
      <c r="A46" s="2">
        <v>46190</v>
      </c>
      <c r="B46" s="1" t="s">
        <v>128</v>
      </c>
      <c r="C46" t="s">
        <v>126</v>
      </c>
      <c r="D46" t="s">
        <v>121</v>
      </c>
    </row>
    <row r="47" spans="1:4" x14ac:dyDescent="0.35">
      <c r="A47" s="2">
        <v>46193</v>
      </c>
      <c r="B47" s="1" t="s">
        <v>128</v>
      </c>
      <c r="C47" t="s">
        <v>126</v>
      </c>
      <c r="D47" t="s">
        <v>122</v>
      </c>
    </row>
    <row r="48" spans="1:4" x14ac:dyDescent="0.35">
      <c r="A48" s="2">
        <v>46196</v>
      </c>
      <c r="B48" s="1" t="s">
        <v>128</v>
      </c>
      <c r="C48" t="s">
        <v>126</v>
      </c>
      <c r="D48" t="s">
        <v>121</v>
      </c>
    </row>
    <row r="49" spans="1:4" x14ac:dyDescent="0.35">
      <c r="A49" s="2">
        <v>46198</v>
      </c>
      <c r="B49" s="1" t="s">
        <v>128</v>
      </c>
      <c r="C49" t="s">
        <v>126</v>
      </c>
      <c r="D49" t="s">
        <v>121</v>
      </c>
    </row>
    <row r="50" spans="1:4" x14ac:dyDescent="0.35">
      <c r="A50" s="2">
        <v>46200</v>
      </c>
      <c r="B50" s="1" t="s">
        <v>128</v>
      </c>
      <c r="C50" t="s">
        <v>126</v>
      </c>
      <c r="D50" t="s">
        <v>122</v>
      </c>
    </row>
    <row r="51" spans="1:4" x14ac:dyDescent="0.35">
      <c r="A51" s="2">
        <v>46202</v>
      </c>
      <c r="B51" s="1" t="s">
        <v>128</v>
      </c>
      <c r="C51" t="s">
        <v>126</v>
      </c>
      <c r="D51" t="s">
        <v>121</v>
      </c>
    </row>
  </sheetData>
  <autoFilter ref="A1:D1" xr:uid="{3361F8F9-573A-476C-A452-778AE448CD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Sales_Log</vt:lpstr>
      <vt:lpstr>Purchase_Hub</vt:lpstr>
      <vt:lpstr>Inventory_Table</vt:lpstr>
      <vt:lpstr>date_key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Anand</cp:lastModifiedBy>
  <dcterms:created xsi:type="dcterms:W3CDTF">2026-08-19T19:08:34Z</dcterms:created>
  <dcterms:modified xsi:type="dcterms:W3CDTF">2026-09-07T18:47:53Z</dcterms:modified>
</cp:coreProperties>
</file>